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7745" windowHeight="6330"/>
  </x:bookViews>
  <x:sheets>
    <x:sheet name="PLAYER_STATS" sheetId="1" r:id="rId4"/>
    <x:sheet name="MATCH_LOG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<x:sst xmlns:r="http://schemas.openxmlformats.org/officeDocument/2006/relationships" xmlns:c="http://schemas.openxmlformats.org/drawingml/2006/chart" xmlns:x="http://schemas.openxmlformats.org/spreadsheetml/2006/main" count="2917" uniqueCount="191">
  <x:si>
    <x:t>챔피언(안 써도 됨)</x:t>
  </x:si>
  <x:si>
    <x:t>트위스티드 페이트</x:t>
  </x:si>
  <x:si>
    <x:t>바루스</x:t>
  </x:si>
  <x:si>
    <x:t>징크스</x:t>
  </x:si>
  <x:si>
    <x:t>민서</x:t>
  </x:si>
  <x:si>
    <x:t>현민</x:t>
  </x:si>
  <x:si>
    <x:t>헤카림</x:t>
  </x:si>
  <x:si>
    <x:t>브랜드</x:t>
  </x:si>
  <x:si>
    <x:t>성찬</x:t>
  </x:si>
  <x:si>
    <x:t>피즈</x:t>
  </x:si>
  <x:si>
    <x:t>민종</x:t>
  </x:si>
  <x:si>
    <x:t>소라카</x:t>
  </x:si>
  <x:si>
    <x:t>한울</x:t>
  </x:si>
  <x:si>
    <x:t>샤코</x:t>
  </x:si>
  <x:si>
    <x:t>토드</x:t>
  </x:si>
  <x:si>
    <x:t>리븐</x:t>
  </x:si>
  <x:si>
    <x:t>제라스</x:t>
  </x:si>
  <x:si>
    <x:t>요릭</x:t>
  </x:si>
  <x:si>
    <x:t>빅토르</x:t>
  </x:si>
  <x:si>
    <x:t>K</x:t>
  </x:si>
  <x:si>
    <x:t>유민</x:t>
  </x:si>
  <x:si>
    <x:t>동욱</x:t>
  </x:si>
  <x:si>
    <x:t>희영</x:t>
  </x:si>
  <x:si>
    <x:t>승률</x:t>
  </x:si>
  <x:si>
    <x:t>나경</x:t>
  </x:si>
  <x:si>
    <x:t>ADC</x:t>
  </x:si>
  <x:si>
    <x:t>D</x:t>
  </x:si>
  <x:si>
    <x:t>릴리아</x:t>
  </x:si>
  <x:si>
    <x:t>스마</x:t>
  </x:si>
  <x:si>
    <x:t>시현</x:t>
  </x:si>
  <x:si>
    <x:t>라인</x:t>
  </x:si>
  <x:si>
    <x:t>문도</x:t>
  </x:si>
  <x:si>
    <x:t>A</x:t>
  </x:si>
  <x:si>
    <x:t>TOP</x:t>
  </x:si>
  <x:si>
    <x:t>MID</x:t>
  </x:si>
  <x:si>
    <x:t>닉네임</x:t>
  </x:si>
  <x:si>
    <x:t>결과</x:t>
  </x:si>
  <x:si>
    <x:t>블루</x:t>
  </x:si>
  <x:si>
    <x:t>자크</x:t>
  </x:si>
  <x:si>
    <x:t>승</x:t>
  </x:si>
  <x:si>
    <x:t>아리</x:t>
  </x:si>
  <x:si>
    <x:t>녹턴</x:t>
  </x:si>
  <x:si>
    <x:t>에코</x:t>
  </x:si>
  <x:si>
    <x:t>말자하</x:t>
  </x:si>
  <x:si>
    <x:t>망수</x:t>
  </x:si>
  <x:si>
    <x:t>매드</x:t>
  </x:si>
  <x:si>
    <x:t>신드라</x:t>
  </x:si>
  <x:si>
    <x:t>수호</x:t>
  </x:si>
  <x:si>
    <x:t>승한</x:t>
  </x:si>
  <x:si>
    <x:t>서준</x:t>
  </x:si>
  <x:si>
    <x:t>상원</x:t>
  </x:si>
  <x:si>
    <x:t>유미</x:t>
  </x:si>
  <x:si>
    <x:t>암베사</x:t>
  </x:si>
  <x:si>
    <x:t>야스오</x:t>
  </x:si>
  <x:si>
    <x:t>패</x:t>
  </x:si>
  <x:si>
    <x:t>엔티</x:t>
  </x:si>
  <x:si>
    <x:t>JG</x:t>
  </x:si>
  <x:si>
    <x:t>시온</x:t>
  </x:si>
  <x:si>
    <x:t>토니</x:t>
  </x:si>
  <x:si>
    <x:t>초스</x:t>
  </x:si>
  <x:si>
    <x:t>시로</x:t>
  </x:si>
  <x:si>
    <x:t>승현</x:t>
  </x:si>
  <x:si>
    <x:t>세준</x:t>
  </x:si>
  <x:si>
    <x:t>올라프</x:t>
  </x:si>
  <x:si>
    <x:t>오로라</x:t>
  </x:si>
  <x:si>
    <x:t>잭스</x:t>
  </x:si>
  <x:si>
    <x:t>아칼리</x:t>
  </x:si>
  <x:si>
    <x:t>카밀</x:t>
  </x:si>
  <x:si>
    <x:t>비에고</x:t>
  </x:si>
  <x:si>
    <x:t>애쉬</x:t>
  </x:si>
  <x:si>
    <x:t>유현</x:t>
  </x:si>
  <x:si>
    <x:t>앤디</x:t>
  </x:si>
  <x:si>
    <x:t>SUP</x:t>
  </x:si>
  <x:si>
    <x:t>도현</x:t>
  </x:si>
  <x:si>
    <x:t>럭스</x:t>
  </x:si>
  <x:si>
    <x:t>상기</x:t>
  </x:si>
  <x:si>
    <x:t>지지</x:t>
  </x:si>
  <x:si>
    <x:t>케일</x:t>
  </x:si>
  <x:si>
    <x:t>민규</x:t>
  </x:si>
  <x:si>
    <x:t>크산테</x:t>
  </x:si>
  <x:si>
    <x:t>바드</x:t>
  </x:si>
  <x:si>
    <x:t>오른</x:t>
  </x:si>
  <x:si>
    <x:t>스카너</x:t>
  </x:si>
  <x:si>
    <x:t>요네</x:t>
  </x:si>
  <x:si>
    <x:t>니코</x:t>
  </x:si>
  <x:si>
    <x:t>사이다</x:t>
  </x:si>
  <x:si>
    <x:t>파이크</x:t>
  </x:si>
  <x:si>
    <x:t>진</x:t>
  </x:si>
  <x:si>
    <x:t>리신</x:t>
  </x:si>
  <x:si>
    <x:t>자르반</x:t>
  </x:si>
  <x:si>
    <x:t>영훈</x:t>
  </x:si>
  <x:si>
    <x:t>유나라</x:t>
  </x:si>
  <x:si>
    <x:t>오공</x:t>
  </x:si>
  <x:si>
    <x:t>세라핀</x:t>
  </x:si>
  <x:si>
    <x:t>라이즈</x:t>
  </x:si>
  <x:si>
    <x:t>질리언</x:t>
  </x:si>
  <x:si>
    <x:t>루시안</x:t>
  </x:si>
  <x:si>
    <x:t>신짜오</x:t>
  </x:si>
  <x:si>
    <x:t>탐켄치</x:t>
  </x:si>
  <x:si>
    <x:t>케넨</x:t>
  </x:si>
  <x:si>
    <x:t>티모</x:t>
  </x:si>
  <x:si>
    <x:t>바이</x:t>
  </x:si>
  <x:si>
    <x:t>카이사</x:t>
  </x:si>
  <x:si>
    <x:t>뽀삐</x:t>
  </x:si>
  <x:si>
    <x:t>트위치</x:t>
  </x:si>
  <x:si>
    <x:t>나닌너</x:t>
  </x:si>
  <x:si>
    <x:t>사이온</x:t>
  </x:si>
  <x:si>
    <x:t>나피리</x:t>
  </x:si>
  <x:si>
    <x:t>벡스</x:t>
  </x:si>
  <x:si>
    <x:t>베인</x:t>
  </x:si>
  <x:si>
    <x:t>갈리오</x:t>
  </x:si>
  <x:si>
    <x:t>스몰더</x:t>
  </x:si>
  <x:si>
    <x:t>직스</x:t>
  </x:si>
  <x:si>
    <x:t>자헨</x:t>
  </x:si>
  <x:si>
    <x:t>멜</x:t>
  </x:si>
  <x:si>
    <x:t>쓰레쉬</x:t>
  </x:si>
  <x:si>
    <x:t>쉬바나</x:t>
  </x:si>
  <x:si>
    <x:t>탈론</x:t>
  </x:si>
  <x:si>
    <x:t>준영</x:t>
  </x:si>
  <x:si>
    <x:t>렉사이</x:t>
  </x:si>
  <x:si>
    <x:t>밀리오</x:t>
  </x:si>
  <x:si>
    <x:t>세트</x:t>
  </x:si>
  <x:si>
    <x:t>쉔</x:t>
  </x:si>
  <x:si>
    <x:t>현석</x:t>
  </x:si>
  <x:si>
    <x:t>JW</x:t>
  </x:si>
  <x:si>
    <x:t>브라움</x:t>
  </x:si>
  <x:si>
    <x:t>아지르</x:t>
  </x:si>
  <x:si>
    <x:t>세나</x:t>
  </x:si>
  <x:si>
    <x:t>모아</x:t>
  </x:si>
  <x:si>
    <x:t>트런들</x:t>
  </x:si>
  <x:si>
    <x:t>잡채밥</x:t>
  </x:si>
  <x:si>
    <x:t>나미</x:t>
  </x:si>
  <x:si>
    <x:t>판테온</x:t>
  </x:si>
  <x:si>
    <x:t>제리</x:t>
  </x:si>
  <x:si>
    <x:t>탈리야</x:t>
  </x:si>
  <x:si>
    <x:t>카르마</x:t>
  </x:si>
  <x:si>
    <x:t>라칸</x:t>
  </x:si>
  <x:si>
    <x:t>조훈</x:t>
  </x:si>
  <x:si>
    <x:t>제드</x:t>
  </x:si>
  <x:si>
    <x:t>네잉</x:t>
  </x:si>
  <x:si>
    <x:t>레넥톤</x:t>
  </x:si>
  <x:si>
    <x:t>클레드</x:t>
  </x:si>
  <x:si>
    <x:t>애니</x:t>
  </x:si>
  <x:si>
    <x:t>그웬</x:t>
  </x:si>
  <x:si>
    <x:t>자야</x:t>
  </x:si>
  <x:si>
    <x:t>룰루</x:t>
  </x:si>
  <x:si>
    <x:t>워윅</x:t>
  </x:si>
  <x:si>
    <x:t>나르</x:t>
  </x:si>
  <x:si>
    <x:t/>
  </x:si>
  <x:si>
    <x:t>흐웨이</x:t>
  </x:si>
  <x:si>
    <x:t>센도</x:t>
  </x:si>
  <x:si>
    <x:t>칸쵸</x:t>
  </x:si>
  <x:si>
    <x:t>누누</x:t>
  </x:si>
  <x:si>
    <x:t>르블랑</x:t>
  </x:si>
  <x:si>
    <x:t>우디르</x:t>
  </x:si>
  <x:si>
    <x:t>성호</x:t>
  </x:si>
  <x:si>
    <x:t>아펠리오스</x:t>
  </x:si>
  <x:si>
    <x:t>노틸러스</x:t>
  </x:si>
  <x:si>
    <x:t>모스트 1</x:t>
  </x:si>
  <x:si>
    <x:t>이즈리얼</x:t>
  </x:si>
  <x:si>
    <x:t>알리스타</x:t>
  </x:si>
  <x:si>
    <x:t>TOP 승률</x:t>
  </x:si>
  <x:si>
    <x:t>ADC 승률</x:t>
  </x:si>
  <x:si>
    <x:t>애니비아</x:t>
  </x:si>
  <x:si>
    <x:t>SUP 승률</x:t>
  </x:si>
  <x:si>
    <x:t>아트록스</x:t>
  </x:si>
  <x:si>
    <x:t>모르가나</x:t>
  </x:si>
  <x:si>
    <x:t>모스트 3</x:t>
  </x:si>
  <x:si>
    <x:t>케이틀린</x:t>
  </x:si>
  <x:si>
    <x:t>MID 승률</x:t>
  </x:si>
  <x:si>
    <x:t>모데카이저</x:t>
  </x:si>
  <x:si>
    <x:t>JG 승률</x:t>
  </x:si>
  <x:si>
    <x:t>브라이어</x:t>
  </x:si>
  <x:si>
    <x:t>모스트 2</x:t>
  </x:si>
  <x:si>
    <x:t>세주아니</x:t>
  </x:si>
  <x:si>
    <x:t>경기 수</x:t>
  </x:si>
  <x:si>
    <x:t>트리스타나</x:t>
  </x:si>
  <x:si>
    <x:t>볼리베어</x:t>
  </x:si>
  <x:si>
    <x:t>평균 KDA</x:t>
  </x:si>
  <x:si>
    <x:t>말파이트</x:t>
  </x:si>
  <x:si>
    <x:t>오리아나</x:t>
  </x:si>
  <x:si>
    <x:t>이렐리아</x:t>
  </x:si>
  <x:si>
    <x:t>에어그로브</x:t>
  </x:si>
  <x:si>
    <x:t>그레이브즈</x:t>
  </x:si>
  <x:si>
    <x:t>다이애나</x:t>
  </x:si>
  <x:si>
    <x:t>블리츠크랭크</x:t>
  </x:si>
  <x:si>
    <x:t>킨드레드</x:t>
  </x:si>
  <x:si>
    <x:t>그라가스</x:t>
  </x:si>
  <x:si>
    <x:t>사일러스</x:t>
  </x:si>
  <x:si>
    <x:t>카시오페아</x:t>
  </x:si>
  <x:si>
    <x:t>다리우스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</x:si>
</x:sst>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%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1"/>
      <x:color rgb="ffc00000"/>
      <x:b val="1"/>
    </x:font>
    <x:font>
      <x:name val="맑은 고딕"/>
      <x:sz val="11"/>
      <x:color rgb="ffffff00"/>
      <x:b val="1"/>
    </x:font>
    <x:font>
      <x:name val="맑은 고딕"/>
      <x:sz val="11"/>
      <x:color rgb="ff00b050"/>
      <x:b val="1"/>
    </x:font>
    <x:font>
      <x:name val="맑은 고딕"/>
      <x:sz val="11"/>
      <x:color rgb="ff7030a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504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504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206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2060"/>
          <x:b val="1"/>
        </x:font>
      </mc:Fallback>
    </mc:AlternateContent>
  </x:fonts>
  <x:fills count="23">
    <x:fill>
      <x:patternFill patternType="none"/>
    </x:fill>
    <x:fill>
      <x:patternFill patternType="gray125"/>
    </x:fill>
    <x:fill>
      <x:patternFill patternType="solid">
        <x:fgColor rgb="ff2f5597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77933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604a7b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cc0000"/>
        <x:bgColor indexed="64"/>
      </x:patternFill>
    </x:fill>
    <x:fill>
      <x:patternFill patternType="solid">
        <x:fgColor rgb="ff595959"/>
        <x:bgColor indexed="64"/>
      </x:patternFill>
    </x:fill>
    <x:fill>
      <x:patternFill patternType="solid">
        <x:fgColor rgb="ff262626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cc9900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cc66ff"/>
        <x:bgColor indexed="64"/>
      </x:patternFill>
    </x:fill>
    <x:fill>
      <x:patternFill patternType="solid">
        <x:fgColor rgb="ff0d0d0d"/>
        <x:bgColor indexed="64"/>
      </x:patternFill>
    </x:fill>
    <x:fill>
      <x:patternFill patternType="solid">
        <x:fgColor rgb="ffa6a6a6"/>
        <x:bgColor indexed="64"/>
      </x:patternFill>
    </x:fill>
    <x:fill>
      <x:patternFill patternType="solid">
        <x:fgColor rgb="ff3073c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ac090"/>
        <x:bgColor indexed="64"/>
      </x:patternFill>
    </x:fill>
  </x:fills>
  <x:borders count="2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rgb="ffffffff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rgb="ffffffff"/>
      </x:top>
      <x:bottom style="medium">
        <x:color rgb="ffffffff"/>
      </x:bottom>
    </x:border>
  </x:borders>
  <x:cellStyleXfs count="1">
    <x:xf numFmtId="0" fontId="0" fillId="0" borderId="0">
      <x:alignment horizontal="general" vertical="center"/>
    </x:xf>
  </x:cellStyleXfs>
  <x:cellXfs count="64">
    <x:xf numFmtId="0" fontId="0" fillId="0" borderId="0" xfId="0" applyNumberFormat="1" applyAlignment="1">
      <x:alignment horizontal="general" vertical="bottom"/>
    </x:xf>
    <x:xf numFmtId="0" fontId="6" fillId="2" borderId="0" xfId="0" applyNumberFormat="1" applyFont="1" applyFill="1" applyAlignment="1">
      <x:alignment horizontal="general" vertical="bottom"/>
    </x:xf>
    <x:xf numFmtId="0" fontId="0" fillId="0" borderId="1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bottom"/>
        </x:xf>
      </mc:Fallback>
    </mc:AlternateContent>
    <x:xf numFmtId="0" fontId="0" fillId="0" borderId="2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bottom"/>
        </x:xf>
      </mc:Fallback>
    </mc:AlternateContent>
    <x:xf numFmtId="0" fontId="0" fillId="0" borderId="3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Border="1" applyAlignment="1">
          <x:alignment horizontal="center" vertical="bottom"/>
        </x:xf>
      </mc:Fallback>
    </mc:AlternateContent>
    <x:xf numFmtId="0" fontId="0" fillId="0" borderId="4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" xfId="0" applyNumberFormat="1" applyFont="1" applyFill="1" applyBorder="1" applyAlignment="1">
          <x:alignment horizontal="center" vertical="bottom"/>
        </x:xf>
      </mc:Fallback>
    </mc:AlternateContent>
    <x:xf numFmtId="2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2" fontId="0" fillId="0" borderId="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0" fillId="0" borderId="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11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11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4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5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5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6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6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7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7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3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3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8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8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bottom"/>
        </x:xf>
      </mc:Fallback>
    </mc:AlternateContent>
    <x:xf numFmtId="164" fontId="11" fillId="19" borderId="1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0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1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1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1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1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1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1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10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10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9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9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9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9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10" xfId="0" applyNumberFormat="1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9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hs:size val="0"/>
            <hs:ratio val="0"/>
            <hs:spacing val="0"/>
            <hs:offset val="0"/>
          </x:font>
          <x:fill>
            <x:patternFill>
              <x:bgColor rgb="ffc6efce"/>
            </x:patternFill>
          </x:fill>
        </x:dxf>
      </mc:Choice>
      <mc:Fallback>
        <x:dxf>
          <x:font>
            <x:color rgb="ff006100"/>
          </x:font>
          <x:fill>
            <x:patternFill>
              <x:b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hs:size val="0"/>
            <hs:ratio val="0"/>
            <hs:spacing val="0"/>
            <hs:offset val="0"/>
          </x:font>
          <x:fill>
            <x:patternFill>
              <x:bgColor rgb="ffc6efce"/>
            </x:patternFill>
          </x:fill>
        </x:dxf>
      </mc:Choice>
      <mc:Fallback>
        <x:dxf>
          <x:font>
            <x:color rgb="ff006100"/>
          </x:font>
          <x:fill>
            <x:patternFill>
              <x:b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hs:size val="0"/>
            <hs:ratio val="0"/>
            <hs:spacing val="0"/>
            <hs:offset val="0"/>
          </x:font>
          <x:fill>
            <x:patternFill>
              <x:bgColor rgb="ffc6efce"/>
            </x:patternFill>
          </x:fill>
        </x:dxf>
      </mc:Choice>
      <mc:Fallback>
        <x:dxf>
          <x:font>
            <x:color rgb="ff006100"/>
          </x:font>
          <x:fill>
            <x:patternFill>
              <x:b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hs:size val="0"/>
            <hs:ratio val="0"/>
            <hs:spacing val="0"/>
            <hs:offset val="0"/>
          </x:font>
          <x:fill>
            <x:patternFill>
              <x:bgColor rgb="ffc6efce"/>
            </x:patternFill>
          </x:fill>
        </x:dxf>
      </mc:Choice>
      <mc:Fallback>
        <x:dxf>
          <x:font>
            <x:color rgb="ff006100"/>
          </x:font>
          <x:fill>
            <x:patternFill>
              <x:b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hs:size val="0"/>
            <hs:ratio val="0"/>
            <hs:spacing val="0"/>
            <hs:offset val="0"/>
          </x:font>
          <x:fill>
            <x:patternFill>
              <x:bgColor rgb="ffc6efce"/>
            </x:patternFill>
          </x:fill>
        </x:dxf>
      </mc:Choice>
      <mc:Fallback>
        <x:dxf>
          <x:font>
            <x:color rgb="ff006100"/>
          </x:font>
          <x:fill>
            <x:patternFill>
              <x:bgColor rgb="ffc6ef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2060"/>
            <x:b val="1"/>
            <x:i val="0"/>
            <hs:size val="0"/>
            <hs:ratio val="0"/>
            <hs:spacing val="0"/>
            <hs:offset val="0"/>
          </x:font>
          <x:fill>
            <x:patternFill>
              <x:bgColor rgb="ff00b0f0"/>
            </x:patternFill>
          </x:fill>
        </x:dxf>
      </mc:Choice>
      <mc:Fallback>
        <x:dxf>
          <x:font>
            <x:color rgb="ff002060"/>
            <x:b val="1"/>
            <x:i val="0"/>
          </x:font>
          <x:fill>
            <x:patternFill>
              <x:bgColor rgb="ff00b0f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c00000"/>
            <x:b val="1"/>
            <x:i val="0"/>
            <hs:size val="0"/>
            <hs:ratio val="0"/>
            <hs:spacing val="0"/>
            <hs:offset val="0"/>
          </x:font>
          <x:fill>
            <x:patternFill>
              <x:bgColor rgb="ffff8f8f"/>
            </x:patternFill>
          </x:fill>
        </x:dxf>
      </mc:Choice>
      <mc:Fallback>
        <x:dxf>
          <x:font>
            <x:color rgb="ffc00000"/>
            <x:b val="1"/>
            <x:i val="0"/>
          </x:font>
          <x:fill>
            <x:patternFill>
              <x:bgColor rgb="ffff8f8f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x:b val="1"/>
            <x:i val="1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  <x:b val="1"/>
            <x:i val="1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  <x:i val="0"/>
          </x:font>
        </x:dxf>
      </mc:Fallback>
    </mc:AlternateContent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T48"/>
  <x:sheetViews>
    <x:sheetView tabSelected="1" topLeftCell="A1" zoomScaleNormal="100" zoomScaleSheetLayoutView="75" workbookViewId="0">
      <x:pane xSplit="0" ySplit="1" topLeftCell="A11" activePane="bottomLeft" state="frozen"/>
      <x:selection pane="bottomLeft" activeCell="C52" activeCellId="0" sqref="C52:C52"/>
    </x:sheetView>
  </x:sheetViews>
  <x:sheetFormatPr defaultColWidth="9.00390625" defaultRowHeight="16.39999999999999857891"/>
  <x:cols>
    <x:col min="1" max="1" width="13.75" style="8" customWidth="1"/>
    <x:col min="2" max="4" width="10" customWidth="1"/>
    <x:col min="5" max="5" width="13.125" customWidth="1"/>
    <x:col min="6" max="6" width="12.25" style="28" customWidth="1"/>
    <x:col min="7" max="11" width="10.375" customWidth="1"/>
    <x:col min="12" max="12" width="12.5" customWidth="1"/>
    <x:col min="13" max="13" width="5" style="8" customWidth="1"/>
    <x:col min="14" max="14" width="12.5" customWidth="1"/>
    <x:col min="15" max="15" width="5" customWidth="1"/>
    <x:col min="16" max="16" width="12.5" customWidth="1"/>
    <x:col min="17" max="17" width="5" customWidth="1"/>
  </x:cols>
  <x:sheetData>
    <x:row r="1" spans="1:20">
      <x:c r="A1" s="3" t="s">
        <x:v>35</x:v>
      </x:c>
      <x:c r="B1" s="3" t="s">
        <x:v>175</x:v>
      </x:c>
      <x:c r="C1" s="6" t="s">
        <x:v>39</x:v>
      </x:c>
      <x:c r="D1" s="4" t="s">
        <x:v>54</x:v>
      </x:c>
      <x:c r="E1" s="25" t="s">
        <x:v>23</x:v>
      </x:c>
      <x:c r="F1" s="38" t="s">
        <x:v>178</x:v>
      </x:c>
      <x:c r="G1" s="26" t="s">
        <x:v>161</x:v>
      </x:c>
      <x:c r="H1" s="5" t="s">
        <x:v>171</x:v>
      </x:c>
      <x:c r="I1" s="6" t="s">
        <x:v>169</x:v>
      </x:c>
      <x:c r="J1" s="7" t="s">
        <x:v>162</x:v>
      </x:c>
      <x:c r="K1" s="27" t="s">
        <x:v>164</x:v>
      </x:c>
      <x:c r="L1" s="40" t="s">
        <x:v>158</x:v>
      </x:c>
      <x:c r="N1" s="40" t="s">
        <x:v>173</x:v>
      </x:c>
      <x:c r="P1" s="40" t="s">
        <x:v>167</x:v>
      </x:c>
      <x:c r="R1" s="44" t="s">
        <x:v>19</x:v>
      </x:c>
      <x:c r="S1" s="44" t="s">
        <x:v>26</x:v>
      </x:c>
      <x:c r="T1" s="44" t="s">
        <x:v>32</x:v>
      </x:c>
    </x:row>
    <x:row r="2" spans="1:20" ht="16.75">
      <x:c r="A2" s="37" t="s">
        <x:v>21</x:v>
      </x:c>
      <x:c r="B2" s="9">
        <x:f>COUNTIF(MATCH_LOG!A:A,A2)</x:f>
        <x:v>42</x:v>
      </x:c>
      <x:c r="C2" s="9">
        <x:f>COUNTIFS(MATCH_LOG!A:A,A2,MATCH_LOG!G:G,"승")</x:f>
        <x:v>24</x:v>
      </x:c>
      <x:c r="D2" s="9">
        <x:f>COUNTIFS(MATCH_LOG!A:A,A2,MATCH_LOG!G:G,"패")</x:f>
        <x:v>18</x:v>
      </x:c>
      <x:c r="E2" s="30">
        <x:f t="shared" ref="E2:E7" si="0">IF(B2=0,0,C2/B2)</x:f>
        <x:v>0.5714285714285714</x:v>
      </x:c>
      <x:c r="F2" s="29">
        <x:f>IFERROR((SUMIFS(MATCH_LOG!D:D,MATCH_LOG!A:A,A2)+SUMIFS(MATCH_LOG!F:F,MATCH_LOG!A:A,A2))/SUMIFS(MATCH_LOG!E:E,MATCH_LOG!A:A,A2),0)</x:f>
        <x:v>3.3681818181818182</x:v>
      </x:c>
      <x:c r="G2" s="42">
        <x:f>IFERROR(COUNTIFS(MATCH_LOG!A:A,A2,MATCH_LOG!B:B,"TOP",MATCH_LOG!G:G,"승")/COUNTIFS(MATCH_LOG!A:A,A2,MATCH_LOG!B:B,"TOP"),0)</x:f>
        <x:v>0.7857142857142857</x:v>
      </x:c>
      <x:c r="H2" s="42">
        <x:f>IFERROR(COUNTIFS(MATCH_LOG!A:A,A2,MATCH_LOG!B:B,"JG",MATCH_LOG!G:G,"승")/COUNTIFS(MATCH_LOG!A:A,A2,MATCH_LOG!B:B,"JG"),0)</x:f>
        <x:v>0.53333333333333333</x:v>
      </x:c>
      <x:c r="I2" s="42">
        <x:f>IFERROR(COUNTIFS(MATCH_LOG!A:A,A2,MATCH_LOG!B:B,"MID",MATCH_LOG!G:G,"승")/COUNTIFS(MATCH_LOG!A:A,A2,MATCH_LOG!B:B,"MID"),0)</x:f>
        <x:v>0.5</x:v>
      </x:c>
      <x:c r="J2" s="42">
        <x:f>IFERROR(COUNTIFS(MATCH_LOG!A:A,A2,MATCH_LOG!B:B,"ADC",MATCH_LOG!G:G,"승")/COUNTIFS(MATCH_LOG!A:A,A2,MATCH_LOG!B:B,"ADC"),0)</x:f>
        <x:v>0</x:v>
      </x:c>
      <x:c r="K2" s="42">
        <x:f>IFERROR(COUNTIFS(MATCH_LOG!A:A,A2,MATCH_LOG!B:B,"SUP",MATCH_LOG!G:G,"승")/COUNTIFS(MATCH_LOG!A:A,A2,MATCH_LOG!B:B,"SUP"),0)</x:f>
        <x:v>0.40000000000000002</x:v>
      </x:c>
      <x:c r="L2" s="43" t="s">
        <x:v>88</x:v>
      </x:c>
      <x:c r="M2" s="61">
        <x:v>5</x:v>
      </x:c>
      <x:c r="N2" s="43" t="s">
        <x:v>140</x:v>
      </x:c>
      <x:c r="O2" s="61">
        <x:v>5</x:v>
      </x:c>
      <x:c r="P2" s="45" t="s">
        <x:v>107</x:v>
      </x:c>
      <x:c r="Q2" s="61">
        <x:v>4</x:v>
      </x:c>
      <x:c r="R2" s="46">
        <x:f>SUMIFS(MATCH_LOG!D:D,MATCH_LOG!A:A,A2)</x:f>
        <x:v>368</x:v>
      </x:c>
      <x:c r="S2" s="48">
        <x:f>SUMIFS(MATCH_LOG!E:E,MATCH_LOG!A:A,A2)</x:f>
        <x:v>220</x:v>
      </x:c>
      <x:c r="T2" s="49">
        <x:f>SUMIFS(MATCH_LOG!F:F,MATCH_LOG!A:A,A2)</x:f>
        <x:v>373</x:v>
      </x:c>
    </x:row>
    <x:row r="3" spans="1:20">
      <x:c r="A3" s="37" t="s">
        <x:v>22</x:v>
      </x:c>
      <x:c r="B3" s="9">
        <x:f>COUNTIF(MATCH_LOG!A:A,A3)</x:f>
        <x:v>27</x:v>
      </x:c>
      <x:c r="C3" s="9">
        <x:f>COUNTIFS(MATCH_LOG!A:A,A3,MATCH_LOG!G:G,"승")</x:f>
        <x:v>15</x:v>
      </x:c>
      <x:c r="D3" s="9">
        <x:f>COUNTIFS(MATCH_LOG!A:A,A3,MATCH_LOG!G:G,"패")</x:f>
        <x:v>12</x:v>
      </x:c>
      <x:c r="E3" s="30">
        <x:f t="shared" si="0"/>
        <x:v>0.55555555555555558</x:v>
      </x:c>
      <x:c r="F3" s="29">
        <x:f>IFERROR((SUMIFS(MATCH_LOG!D:D,MATCH_LOG!A:A,A3)+SUMIFS(MATCH_LOG!F:F,MATCH_LOG!A:A,A3))/SUMIFS(MATCH_LOG!E:E,MATCH_LOG!A:A,A3),0)</x:f>
        <x:v>3.5403225806451615</x:v>
      </x:c>
      <x:c r="G3" s="42">
        <x:f>IFERROR(COUNTIFS(MATCH_LOG!A:A,A3,MATCH_LOG!B:B,"TOP",MATCH_LOG!G:G,"승")/COUNTIFS(MATCH_LOG!A:A,A3,MATCH_LOG!B:B,"TOP"),0)</x:f>
        <x:v>0.66666666666666663</x:v>
      </x:c>
      <x:c r="H3" s="42">
        <x:f>IFERROR(COUNTIFS(MATCH_LOG!A:A,A3,MATCH_LOG!B:B,"JG",MATCH_LOG!G:G,"승")/COUNTIFS(MATCH_LOG!A:A,A3,MATCH_LOG!B:B,"JG"),0)</x:f>
        <x:v>0.5625</x:v>
      </x:c>
      <x:c r="I3" s="42">
        <x:f>IFERROR(COUNTIFS(MATCH_LOG!A:A,A3,MATCH_LOG!B:B,"MID",MATCH_LOG!G:G,"승")/COUNTIFS(MATCH_LOG!A:A,A3,MATCH_LOG!B:B,"MID"),0)</x:f>
        <x:v>0.66666666666666663</x:v>
      </x:c>
      <x:c r="J3" s="42">
        <x:f>IFERROR(COUNTIFS(MATCH_LOG!A:A,A3,MATCH_LOG!B:B,"ADC",MATCH_LOG!G:G,"승")/COUNTIFS(MATCH_LOG!A:A,A3,MATCH_LOG!B:B,"ADC"),0)</x:f>
        <x:v>0</x:v>
      </x:c>
      <x:c r="K3" s="42">
        <x:f>IFERROR(COUNTIFS(MATCH_LOG!A:A,A3,MATCH_LOG!B:B,"SUP",MATCH_LOG!G:G,"승")/COUNTIFS(MATCH_LOG!A:A,A3,MATCH_LOG!B:B,"SUP"),0)</x:f>
        <x:v>0</x:v>
      </x:c>
      <x:c r="L3" s="43" t="s">
        <x:v>113</x:v>
      </x:c>
      <x:c r="M3" s="61">
        <x:v>5</x:v>
      </x:c>
      <x:c r="N3" s="43" t="s">
        <x:v>101</x:v>
      </x:c>
      <x:c r="O3" s="61">
        <x:v>2</x:v>
      </x:c>
      <x:c r="P3" s="45" t="s">
        <x:v>82</x:v>
      </x:c>
      <x:c r="Q3" s="61">
        <x:v>2</x:v>
      </x:c>
      <x:c r="R3" s="47">
        <x:f>SUMIFS(MATCH_LOG!D:D,MATCH_LOG!A:A,A3)</x:f>
        <x:v>195</x:v>
      </x:c>
      <x:c r="S3" s="48">
        <x:f>SUMIFS(MATCH_LOG!E:E,MATCH_LOG!A:A,A3)</x:f>
        <x:v>124</x:v>
      </x:c>
      <x:c r="T3" s="49">
        <x:f>SUMIFS(MATCH_LOG!F:F,MATCH_LOG!A:A,A3)</x:f>
        <x:v>244</x:v>
      </x:c>
    </x:row>
    <x:row r="4" spans="1:20">
      <x:c r="A4" s="31" t="s">
        <x:v>73</x:v>
      </x:c>
      <x:c r="B4" s="9">
        <x:f>COUNTIF(MATCH_LOG!A:A,A4)</x:f>
        <x:v>36</x:v>
      </x:c>
      <x:c r="C4" s="9">
        <x:f>COUNTIFS(MATCH_LOG!A:A,A4,MATCH_LOG!G:G,"승")</x:f>
        <x:v>16</x:v>
      </x:c>
      <x:c r="D4" s="9">
        <x:f>COUNTIFS(MATCH_LOG!A:A,A4,MATCH_LOG!G:G,"패")</x:f>
        <x:v>20</x:v>
      </x:c>
      <x:c r="E4" s="30">
        <x:f t="shared" si="0"/>
        <x:v>0.44444444444444442</x:v>
      </x:c>
      <x:c r="F4" s="29">
        <x:f>IFERROR((SUMIFS(MATCH_LOG!D:D,MATCH_LOG!A:A,A4)+SUMIFS(MATCH_LOG!F:F,MATCH_LOG!A:A,A4))/SUMIFS(MATCH_LOG!E:E,MATCH_LOG!A:A,A4),0)</x:f>
        <x:v>1.9959183673469387</x:v>
      </x:c>
      <x:c r="G4" s="42">
        <x:f>IFERROR(COUNTIFS(MATCH_LOG!A:A,A4,MATCH_LOG!B:B,"TOP",MATCH_LOG!G:G,"승")/COUNTIFS(MATCH_LOG!A:A,A4,MATCH_LOG!B:B,"TOP"),0)</x:f>
        <x:v>0.16666666666666666</x:v>
      </x:c>
      <x:c r="H4" s="42">
        <x:f>IFERROR(COUNTIFS(MATCH_LOG!A:A,A4,MATCH_LOG!B:B,"JG",MATCH_LOG!G:G,"승")/COUNTIFS(MATCH_LOG!A:A,A4,MATCH_LOG!B:B,"JG"),0)</x:f>
        <x:v>0</x:v>
      </x:c>
      <x:c r="I4" s="42">
        <x:f>IFERROR(COUNTIFS(MATCH_LOG!A:A,A4,MATCH_LOG!B:B,"MID",MATCH_LOG!G:G,"승")/COUNTIFS(MATCH_LOG!A:A,A4,MATCH_LOG!B:B,"MID"),0)</x:f>
        <x:v>0.5</x:v>
      </x:c>
      <x:c r="J4" s="42">
        <x:f>IFERROR(COUNTIFS(MATCH_LOG!A:A,A4,MATCH_LOG!B:B,"ADC",MATCH_LOG!G:G,"승")/COUNTIFS(MATCH_LOG!A:A,A4,MATCH_LOG!B:B,"ADC"),0)</x:f>
        <x:v>0</x:v>
      </x:c>
      <x:c r="K4" s="42">
        <x:f>IFERROR(COUNTIFS(MATCH_LOG!A:A,A4,MATCH_LOG!B:B,"SUP",MATCH_LOG!G:G,"승")/COUNTIFS(MATCH_LOG!A:A,A4,MATCH_LOG!B:B,"SUP"),0)</x:f>
        <x:v>0</x:v>
      </x:c>
      <x:c r="L4" s="43" t="s">
        <x:v>83</x:v>
      </x:c>
      <x:c r="M4" s="61">
        <x:v>7</x:v>
      </x:c>
      <x:c r="N4" s="43" t="s">
        <x:v>188</x:v>
      </x:c>
      <x:c r="O4" s="61">
        <x:v>7</x:v>
      </x:c>
      <x:c r="P4" s="45" t="s">
        <x:v>53</x:v>
      </x:c>
      <x:c r="Q4" s="61">
        <x:v>3</x:v>
      </x:c>
      <x:c r="R4" s="47">
        <x:f>SUMIFS(MATCH_LOG!D:D,MATCH_LOG!A:A,A4)</x:f>
        <x:v>262</x:v>
      </x:c>
      <x:c r="S4" s="48">
        <x:f>SUMIFS(MATCH_LOG!E:E,MATCH_LOG!A:A,A4)</x:f>
        <x:v>245</x:v>
      </x:c>
      <x:c r="T4" s="49">
        <x:f>SUMIFS(MATCH_LOG!F:F,MATCH_LOG!A:A,A4)</x:f>
        <x:v>227</x:v>
      </x:c>
    </x:row>
    <x:row r="5" spans="1:20">
      <x:c r="A5" s="31" t="s">
        <x:v>90</x:v>
      </x:c>
      <x:c r="B5" s="9">
        <x:f>COUNTIF(MATCH_LOG!A:A,A5)</x:f>
        <x:v>5</x:v>
      </x:c>
      <x:c r="C5" s="9">
        <x:f>COUNTIFS(MATCH_LOG!A:A,A5,MATCH_LOG!G:G,"승")</x:f>
        <x:v>3</x:v>
      </x:c>
      <x:c r="D5" s="9">
        <x:f>COUNTIFS(MATCH_LOG!A:A,A5,MATCH_LOG!G:G,"패")</x:f>
        <x:v>2</x:v>
      </x:c>
      <x:c r="E5" s="30">
        <x:f t="shared" si="0"/>
        <x:v>0.59999999999999998</x:v>
      </x:c>
      <x:c r="F5" s="29">
        <x:f>IFERROR((SUMIFS(MATCH_LOG!D:D,MATCH_LOG!A:A,A5)+SUMIFS(MATCH_LOG!F:F,MATCH_LOG!A:A,A5))/SUMIFS(MATCH_LOG!E:E,MATCH_LOG!A:A,A5),0)</x:f>
        <x:v>2.5294117647058822</x:v>
      </x:c>
      <x:c r="G5" s="42">
        <x:f>IFERROR(COUNTIFS(MATCH_LOG!A:A,A5,MATCH_LOG!B:B,"TOP",MATCH_LOG!G:G,"승")/COUNTIFS(MATCH_LOG!A:A,A5,MATCH_LOG!B:B,"TOP"),0)</x:f>
        <x:v>0</x:v>
      </x:c>
      <x:c r="H5" s="42">
        <x:f>IFERROR(COUNTIFS(MATCH_LOG!A:A,A5,MATCH_LOG!B:B,"JG",MATCH_LOG!G:G,"승")/COUNTIFS(MATCH_LOG!A:A,A5,MATCH_LOG!B:B,"JG"),0)</x:f>
        <x:v>0</x:v>
      </x:c>
      <x:c r="I5" s="42">
        <x:f>IFERROR(COUNTIFS(MATCH_LOG!A:A,A5,MATCH_LOG!B:B,"MID",MATCH_LOG!G:G,"승")/COUNTIFS(MATCH_LOG!A:A,A5,MATCH_LOG!B:B,"MID"),0)</x:f>
        <x:v>1</x:v>
      </x:c>
      <x:c r="J5" s="42">
        <x:f>IFERROR(COUNTIFS(MATCH_LOG!A:A,A5,MATCH_LOG!B:B,"ADC",MATCH_LOG!G:G,"승")/COUNTIFS(MATCH_LOG!A:A,A5,MATCH_LOG!B:B,"ADC"),0)</x:f>
        <x:v>0.5</x:v>
      </x:c>
      <x:c r="K5" s="42">
        <x:f>IFERROR(COUNTIFS(MATCH_LOG!A:A,A5,MATCH_LOG!B:B,"SUP",MATCH_LOG!G:G,"승")/COUNTIFS(MATCH_LOG!A:A,A5,MATCH_LOG!B:B,"SUP"),0)</x:f>
        <x:v>0</x:v>
      </x:c>
      <x:c r="L5" s="43" t="s">
        <x:v>168</x:v>
      </x:c>
      <x:c r="M5" s="61">
        <x:v>2</x:v>
      </x:c>
      <x:c r="N5" s="43" t="s">
        <x:v>96</x:v>
      </x:c>
      <x:c r="O5" s="61">
        <x:v>1</x:v>
      </x:c>
      <x:c r="P5" s="45" t="s">
        <x:v>126</x:v>
      </x:c>
      <x:c r="Q5" s="61">
        <x:v>1</x:v>
      </x:c>
      <x:c r="R5" s="47">
        <x:f>SUMIFS(MATCH_LOG!D:D,MATCH_LOG!A:A,A5)</x:f>
        <x:v>48</x:v>
      </x:c>
      <x:c r="S5" s="48">
        <x:f>SUMIFS(MATCH_LOG!E:E,MATCH_LOG!A:A,A5)</x:f>
        <x:v>34</x:v>
      </x:c>
      <x:c r="T5" s="49">
        <x:f>SUMIFS(MATCH_LOG!F:F,MATCH_LOG!A:A,A5)</x:f>
        <x:v>38</x:v>
      </x:c>
    </x:row>
    <x:row r="6" spans="1:20">
      <x:c r="A6" s="31" t="s">
        <x:v>28</x:v>
      </x:c>
      <x:c r="B6" s="9">
        <x:f>COUNTIF(MATCH_LOG!A:A,A6)</x:f>
        <x:v>24</x:v>
      </x:c>
      <x:c r="C6" s="9">
        <x:f>COUNTIFS(MATCH_LOG!A:A,A6,MATCH_LOG!G:G,"승")</x:f>
        <x:v>12</x:v>
      </x:c>
      <x:c r="D6" s="9">
        <x:f>COUNTIFS(MATCH_LOG!A:A,A6,MATCH_LOG!G:G,"패")</x:f>
        <x:v>12</x:v>
      </x:c>
      <x:c r="E6" s="30">
        <x:f t="shared" si="0"/>
        <x:v>0.5</x:v>
      </x:c>
      <x:c r="F6" s="29">
        <x:f>IFERROR((SUMIFS(MATCH_LOG!D:D,MATCH_LOG!A:A,A6)+SUMIFS(MATCH_LOG!F:F,MATCH_LOG!A:A,A6))/SUMIFS(MATCH_LOG!E:E,MATCH_LOG!A:A,A6),0)</x:f>
        <x:v>2.9562043795620436</x:v>
      </x:c>
      <x:c r="G6" s="42">
        <x:f>IFERROR(COUNTIFS(MATCH_LOG!A:A,A6,MATCH_LOG!B:B,"TOP",MATCH_LOG!G:G,"승")/COUNTIFS(MATCH_LOG!A:A,A6,MATCH_LOG!B:B,"TOP"),0)</x:f>
        <x:v>0</x:v>
      </x:c>
      <x:c r="H6" s="42">
        <x:f>IFERROR(COUNTIFS(MATCH_LOG!A:A,A6,MATCH_LOG!B:B,"JG",MATCH_LOG!G:G,"승")/COUNTIFS(MATCH_LOG!A:A,A6,MATCH_LOG!B:B,"JG"),0)</x:f>
        <x:v>0.75</x:v>
      </x:c>
      <x:c r="I6" s="42">
        <x:f>IFERROR(COUNTIFS(MATCH_LOG!A:A,A6,MATCH_LOG!B:B,"MID",MATCH_LOG!G:G,"승")/COUNTIFS(MATCH_LOG!A:A,A6,MATCH_LOG!B:B,"MID"),0)</x:f>
        <x:v>0</x:v>
      </x:c>
      <x:c r="J6" s="42">
        <x:f>IFERROR(COUNTIFS(MATCH_LOG!A:A,A6,MATCH_LOG!B:B,"ADC",MATCH_LOG!G:G,"승")/COUNTIFS(MATCH_LOG!A:A,A6,MATCH_LOG!B:B,"ADC"),0)</x:f>
        <x:v>0.25</x:v>
      </x:c>
      <x:c r="K6" s="42">
        <x:f>IFERROR(COUNTIFS(MATCH_LOG!A:A,A6,MATCH_LOG!B:B,"SUP",MATCH_LOG!G:G,"승")/COUNTIFS(MATCH_LOG!A:A,A6,MATCH_LOG!B:B,"SUP"),0)</x:f>
        <x:v>0.5714285714285714</x:v>
      </x:c>
      <x:c r="L6" s="43" t="s">
        <x:v>104</x:v>
      </x:c>
      <x:c r="M6" s="61">
        <x:v>3</x:v>
      </x:c>
      <x:c r="N6" s="43" t="s">
        <x:v>80</x:v>
      </x:c>
      <x:c r="O6" s="61">
        <x:v>2</x:v>
      </x:c>
      <x:c r="P6" s="45" t="s">
        <x:v>96</x:v>
      </x:c>
      <x:c r="Q6" s="61">
        <x:v>2</x:v>
      </x:c>
      <x:c r="R6" s="47">
        <x:f>SUMIFS(MATCH_LOG!D:D,MATCH_LOG!A:A,A6)</x:f>
        <x:v>135</x:v>
      </x:c>
      <x:c r="S6" s="48">
        <x:f>SUMIFS(MATCH_LOG!E:E,MATCH_LOG!A:A,A6)</x:f>
        <x:v>137</x:v>
      </x:c>
      <x:c r="T6" s="49">
        <x:f>SUMIFS(MATCH_LOG!F:F,MATCH_LOG!A:A,A6)</x:f>
        <x:v>270</x:v>
      </x:c>
    </x:row>
    <x:row r="7" spans="1:20">
      <x:c r="A7" s="31" t="s">
        <x:v>47</x:v>
      </x:c>
      <x:c r="B7" s="9">
        <x:f>COUNTIF(MATCH_LOG!A:A,A7)</x:f>
        <x:v>14</x:v>
      </x:c>
      <x:c r="C7" s="9">
        <x:f>COUNTIFS(MATCH_LOG!A:A,A7,MATCH_LOG!G:G,"승")</x:f>
        <x:v>5</x:v>
      </x:c>
      <x:c r="D7" s="9">
        <x:f>COUNTIFS(MATCH_LOG!A:A,A7,MATCH_LOG!G:G,"패")</x:f>
        <x:v>9</x:v>
      </x:c>
      <x:c r="E7" s="30">
        <x:f t="shared" si="0"/>
        <x:v>0.35714285714285715</x:v>
      </x:c>
      <x:c r="F7" s="29">
        <x:f>IFERROR((SUMIFS(MATCH_LOG!D:D,MATCH_LOG!A:A,A7)+SUMIFS(MATCH_LOG!F:F,MATCH_LOG!A:A,A7))/SUMIFS(MATCH_LOG!E:E,MATCH_LOG!A:A,A7),0)</x:f>
        <x:v>1.7747747747747749</x:v>
      </x:c>
      <x:c r="G7" s="42">
        <x:f>IFERROR(COUNTIFS(MATCH_LOG!A:A,A7,MATCH_LOG!B:B,"TOP",MATCH_LOG!G:G,"승")/COUNTIFS(MATCH_LOG!A:A,A7,MATCH_LOG!B:B,"TOP"),0)</x:f>
        <x:v>0.33333333333333331</x:v>
      </x:c>
      <x:c r="H7" s="42">
        <x:f>IFERROR(COUNTIFS(MATCH_LOG!A:A,A7,MATCH_LOG!B:B,"JG",MATCH_LOG!G:G,"승")/COUNTIFS(MATCH_LOG!A:A,A7,MATCH_LOG!B:B,"JG"),0)</x:f>
        <x:v>0.5</x:v>
      </x:c>
      <x:c r="I7" s="42">
        <x:f>IFERROR(COUNTIFS(MATCH_LOG!A:A,A7,MATCH_LOG!B:B,"MID",MATCH_LOG!G:G,"승")/COUNTIFS(MATCH_LOG!A:A,A7,MATCH_LOG!B:B,"MID"),0)</x:f>
        <x:v>0.33333333333333331</x:v>
      </x:c>
      <x:c r="J7" s="42">
        <x:f>IFERROR(COUNTIFS(MATCH_LOG!A:A,A7,MATCH_LOG!B:B,"ADC",MATCH_LOG!G:G,"승")/COUNTIFS(MATCH_LOG!A:A,A7,MATCH_LOG!B:B,"ADC"),0)</x:f>
        <x:v>0</x:v>
      </x:c>
      <x:c r="K7" s="42">
        <x:f>IFERROR(COUNTIFS(MATCH_LOG!A:A,A7,MATCH_LOG!B:B,"SUP",MATCH_LOG!G:G,"승")/COUNTIFS(MATCH_LOG!A:A,A7,MATCH_LOG!B:B,"SUP"),0)</x:f>
        <x:v>0</x:v>
      </x:c>
      <x:c r="L7" s="43" t="s">
        <x:v>92</x:v>
      </x:c>
      <x:c r="M7" s="61">
        <x:v>2</x:v>
      </x:c>
      <x:c r="N7" s="43" t="s">
        <x:v>68</x:v>
      </x:c>
      <x:c r="O7" s="61">
        <x:v>1</x:v>
      </x:c>
      <x:c r="P7" s="45" t="s">
        <x:v>89</x:v>
      </x:c>
      <x:c r="Q7" s="61">
        <x:v>1</x:v>
      </x:c>
      <x:c r="R7" s="47">
        <x:f>SUMIFS(MATCH_LOG!D:D,MATCH_LOG!A:A,A7)</x:f>
        <x:v>130</x:v>
      </x:c>
      <x:c r="S7" s="48">
        <x:f>SUMIFS(MATCH_LOG!E:E,MATCH_LOG!A:A,A7)</x:f>
        <x:v>111</x:v>
      </x:c>
      <x:c r="T7" s="49">
        <x:f>SUMIFS(MATCH_LOG!F:F,MATCH_LOG!A:A,A7)</x:f>
        <x:v>67</x:v>
      </x:c>
    </x:row>
    <x:row r="8" spans="1:20">
      <x:c r="A8" s="31" t="s">
        <x:v>37</x:v>
      </x:c>
      <x:c r="B8" s="9">
        <x:f>COUNTIF(MATCH_LOG!A:A,A8)</x:f>
        <x:v>22</x:v>
      </x:c>
      <x:c r="C8" s="9">
        <x:f>COUNTIFS(MATCH_LOG!A:A,A8,MATCH_LOG!G:G,"승")</x:f>
        <x:v>9</x:v>
      </x:c>
      <x:c r="D8" s="9">
        <x:f>COUNTIFS(MATCH_LOG!A:A,A8,MATCH_LOG!G:G,"패")</x:f>
        <x:v>13</x:v>
      </x:c>
      <x:c r="E8" s="30">
        <x:f>IF(B8=0,0,C8/B8)</x:f>
        <x:v>0.40909090909090912</x:v>
      </x:c>
      <x:c r="F8" s="29">
        <x:f>IFERROR((SUMIFS(MATCH_LOG!D:D,MATCH_LOG!A:A,A8)+SUMIFS(MATCH_LOG!F:F,MATCH_LOG!A:A,A8))/SUMIFS(MATCH_LOG!E:E,MATCH_LOG!A:A,A8),0)</x:f>
        <x:v>2.3812949640287768</x:v>
      </x:c>
      <x:c r="G8" s="42">
        <x:f>IFERROR(COUNTIFS(MATCH_LOG!A:A,A8,MATCH_LOG!B:B,"TOP",MATCH_LOG!G:G,"승")/COUNTIFS(MATCH_LOG!A:A,A8,MATCH_LOG!B:B,"TOP"),0)</x:f>
        <x:v>0.5</x:v>
      </x:c>
      <x:c r="H8" s="42">
        <x:f>IFERROR(COUNTIFS(MATCH_LOG!A:A,A8,MATCH_LOG!B:B,"JG",MATCH_LOG!G:G,"승")/COUNTIFS(MATCH_LOG!A:A,A8,MATCH_LOG!B:B,"JG"),0)</x:f>
        <x:v>0</x:v>
      </x:c>
      <x:c r="I8" s="42">
        <x:f>IFERROR(COUNTIFS(MATCH_LOG!A:A,A8,MATCH_LOG!B:B,"MID",MATCH_LOG!G:G,"승")/COUNTIFS(MATCH_LOG!A:A,A8,MATCH_LOG!B:B,"MID"),0)</x:f>
        <x:v>0.44444444444444442</x:v>
      </x:c>
      <x:c r="J8" s="42">
        <x:f>IFERROR(COUNTIFS(MATCH_LOG!A:A,A8,MATCH_LOG!B:B,"ADC",MATCH_LOG!G:G,"승")/COUNTIFS(MATCH_LOG!A:A,A8,MATCH_LOG!B:B,"ADC"),0)</x:f>
        <x:v>0</x:v>
      </x:c>
      <x:c r="K8" s="42">
        <x:f>IFERROR(COUNTIFS(MATCH_LOG!A:A,A8,MATCH_LOG!B:B,"SUP",MATCH_LOG!G:G,"승")/COUNTIFS(MATCH_LOG!A:A,A8,MATCH_LOG!B:B,"SUP"),0)</x:f>
        <x:v>0</x:v>
      </x:c>
      <x:c r="L8" s="43" t="s">
        <x:v>66</x:v>
      </x:c>
      <x:c r="M8" s="61">
        <x:v>4</x:v>
      </x:c>
      <x:c r="N8" s="43" t="s">
        <x:v>110</x:v>
      </x:c>
      <x:c r="O8" s="61">
        <x:v>2</x:v>
      </x:c>
      <x:c r="P8" s="45" t="s">
        <x:v>189</x:v>
      </x:c>
      <x:c r="Q8" s="61">
        <x:v>2</x:v>
      </x:c>
      <x:c r="R8" s="47">
        <x:f>SUMIFS(MATCH_LOG!D:D,MATCH_LOG!A:A,A8)</x:f>
        <x:v>161</x:v>
      </x:c>
      <x:c r="S8" s="48">
        <x:f>SUMIFS(MATCH_LOG!E:E,MATCH_LOG!A:A,A8)</x:f>
        <x:v>139</x:v>
      </x:c>
      <x:c r="T8" s="49">
        <x:f>SUMIFS(MATCH_LOG!F:F,MATCH_LOG!A:A,A8)</x:f>
        <x:v>170</x:v>
      </x:c>
    </x:row>
    <x:row r="9" spans="1:20">
      <x:c r="A9" s="31" t="s">
        <x:v>139</x:v>
      </x:c>
      <x:c r="B9" s="9">
        <x:f>COUNTIF(MATCH_LOG!A:A,A9)</x:f>
        <x:v>5</x:v>
      </x:c>
      <x:c r="C9" s="9">
        <x:f>COUNTIFS(MATCH_LOG!A:A,A9,MATCH_LOG!G:G,"승")</x:f>
        <x:v>5</x:v>
      </x:c>
      <x:c r="D9" s="9">
        <x:f>COUNTIFS(MATCH_LOG!A:A,A9,MATCH_LOG!G:G,"패")</x:f>
        <x:v>0</x:v>
      </x:c>
      <x:c r="E9" s="30">
        <x:f>IF(B9=0,0,C9/B9)</x:f>
        <x:v>1</x:v>
      </x:c>
      <x:c r="F9" s="29">
        <x:f>IFERROR((SUMIFS(MATCH_LOG!D:D,MATCH_LOG!A:A,A9)+SUMIFS(MATCH_LOG!F:F,MATCH_LOG!A:A,A9))/SUMIFS(MATCH_LOG!E:E,MATCH_LOG!A:A,A9),0)</x:f>
        <x:v>2.4838709677419355</x:v>
      </x:c>
      <x:c r="G9" s="42">
        <x:f>IFERROR(COUNTIFS(MATCH_LOG!A:A,A9,MATCH_LOG!B:B,"TOP",MATCH_LOG!G:G,"승")/COUNTIFS(MATCH_LOG!A:A,A9,MATCH_LOG!B:B,"TOP"),0)</x:f>
        <x:v>0</x:v>
      </x:c>
      <x:c r="H9" s="42">
        <x:f>IFERROR(COUNTIFS(MATCH_LOG!A:A,A9,MATCH_LOG!B:B,"JG",MATCH_LOG!G:G,"승")/COUNTIFS(MATCH_LOG!A:A,A9,MATCH_LOG!B:B,"JG"),0)</x:f>
        <x:v>0</x:v>
      </x:c>
      <x:c r="I9" s="42">
        <x:f>IFERROR(COUNTIFS(MATCH_LOG!A:A,A9,MATCH_LOG!B:B,"MID",MATCH_LOG!G:G,"승")/COUNTIFS(MATCH_LOG!A:A,A9,MATCH_LOG!B:B,"MID"),0)</x:f>
        <x:v>0</x:v>
      </x:c>
      <x:c r="J9" s="42">
        <x:f>IFERROR(COUNTIFS(MATCH_LOG!A:A,A9,MATCH_LOG!B:B,"ADC",MATCH_LOG!G:G,"승")/COUNTIFS(MATCH_LOG!A:A,A9,MATCH_LOG!B:B,"ADC"),0)</x:f>
        <x:v>1</x:v>
      </x:c>
      <x:c r="K9" s="42">
        <x:f>IFERROR(COUNTIFS(MATCH_LOG!A:A,A9,MATCH_LOG!B:B,"SUP",MATCH_LOG!G:G,"승")/COUNTIFS(MATCH_LOG!A:A,A9,MATCH_LOG!B:B,"SUP"),0)</x:f>
        <x:v>0</x:v>
      </x:c>
      <x:c r="L9" s="43" t="s">
        <x:v>159</x:v>
      </x:c>
      <x:c r="M9" s="61">
        <x:v>2</x:v>
      </x:c>
      <x:c r="N9" s="43" t="s">
        <x:v>96</x:v>
      </x:c>
      <x:c r="O9" s="61">
        <x:v>1</x:v>
      </x:c>
      <x:c r="P9" s="45" t="s">
        <x:v>168</x:v>
      </x:c>
      <x:c r="Q9" s="61">
        <x:v>1</x:v>
      </x:c>
      <x:c r="R9" s="47">
        <x:f>SUMIFS(MATCH_LOG!D:D,MATCH_LOG!A:A,A9)</x:f>
        <x:v>40</x:v>
      </x:c>
      <x:c r="S9" s="48">
        <x:f>SUMIFS(MATCH_LOG!E:E,MATCH_LOG!A:A,A9)</x:f>
        <x:v>31</x:v>
      </x:c>
      <x:c r="T9" s="49">
        <x:f>SUMIFS(MATCH_LOG!F:F,MATCH_LOG!A:A,A9)</x:f>
        <x:v>37</x:v>
      </x:c>
    </x:row>
    <x:row r="10" spans="1:20">
      <x:c r="A10" s="31" t="s">
        <x:v>150</x:v>
      </x:c>
      <x:c r="B10" s="9">
        <x:f>COUNTIF(MATCH_LOG!A:A,A10)</x:f>
        <x:v>9</x:v>
      </x:c>
      <x:c r="C10" s="9">
        <x:f>COUNTIFS(MATCH_LOG!A:A,A10,MATCH_LOG!G:G,"승")</x:f>
        <x:v>3</x:v>
      </x:c>
      <x:c r="D10" s="9">
        <x:f>COUNTIFS(MATCH_LOG!A:A,A10,MATCH_LOG!G:G,"패")</x:f>
        <x:v>6</x:v>
      </x:c>
      <x:c r="E10" s="30">
        <x:f>IF(B10=0,0,C10/B10)</x:f>
        <x:v>0.33333333333333331</x:v>
      </x:c>
      <x:c r="F10" s="29">
        <x:f>IFERROR((SUMIFS(MATCH_LOG!D:D,MATCH_LOG!A:A,A10)+SUMIFS(MATCH_LOG!F:F,MATCH_LOG!A:A,A10))/SUMIFS(MATCH_LOG!E:E,MATCH_LOG!A:A,A10),0)</x:f>
        <x:v>2.7346938775510203</x:v>
      </x:c>
      <x:c r="G10" s="42">
        <x:f>IFERROR(COUNTIFS(MATCH_LOG!A:A,A10,MATCH_LOG!B:B,"TOP",MATCH_LOG!G:G,"승")/COUNTIFS(MATCH_LOG!A:A,A10,MATCH_LOG!B:B,"TOP"),0)</x:f>
        <x:v>0</x:v>
      </x:c>
      <x:c r="H10" s="42">
        <x:f>IFERROR(COUNTIFS(MATCH_LOG!A:A,A10,MATCH_LOG!B:B,"JG",MATCH_LOG!G:G,"승")/COUNTIFS(MATCH_LOG!A:A,A10,MATCH_LOG!B:B,"JG"),0)</x:f>
        <x:v>0</x:v>
      </x:c>
      <x:c r="I10" s="42">
        <x:f>IFERROR(COUNTIFS(MATCH_LOG!A:A,A10,MATCH_LOG!B:B,"MID",MATCH_LOG!G:G,"승")/COUNTIFS(MATCH_LOG!A:A,A10,MATCH_LOG!B:B,"MID"),0)</x:f>
        <x:v>0.2857142857142857</x:v>
      </x:c>
      <x:c r="J10" s="42">
        <x:f>IFERROR(COUNTIFS(MATCH_LOG!A:A,A10,MATCH_LOG!B:B,"ADC",MATCH_LOG!G:G,"승")/COUNTIFS(MATCH_LOG!A:A,A10,MATCH_LOG!B:B,"ADC"),0)</x:f>
        <x:v>0</x:v>
      </x:c>
      <x:c r="K10" s="42">
        <x:f>IFERROR(COUNTIFS(MATCH_LOG!A:A,A10,MATCH_LOG!B:B,"SUP",MATCH_LOG!G:G,"승")/COUNTIFS(MATCH_LOG!A:A,A10,MATCH_LOG!B:B,"SUP"),0)</x:f>
        <x:v>0.5</x:v>
      </x:c>
      <x:c r="L10" s="43" t="s">
        <x:v>142</x:v>
      </x:c>
      <x:c r="M10" s="61">
        <x:v>2</x:v>
      </x:c>
      <x:c r="N10" s="43" t="s">
        <x:v>152</x:v>
      </x:c>
      <x:c r="O10" s="61">
        <x:v>1</x:v>
      </x:c>
      <x:c r="P10" s="45" t="s">
        <x:v>109</x:v>
      </x:c>
      <x:c r="Q10" s="61">
        <x:v>1</x:v>
      </x:c>
      <x:c r="R10" s="47">
        <x:f>SUMIFS(MATCH_LOG!D:D,MATCH_LOG!A:A,A10)</x:f>
        <x:v>62</x:v>
      </x:c>
      <x:c r="S10" s="48">
        <x:f>SUMIFS(MATCH_LOG!E:E,MATCH_LOG!A:A,A10)</x:f>
        <x:v>49</x:v>
      </x:c>
      <x:c r="T10" s="49">
        <x:f>SUMIFS(MATCH_LOG!F:F,MATCH_LOG!A:A,A10)</x:f>
        <x:v>72</x:v>
      </x:c>
    </x:row>
    <x:row r="11" spans="1:20">
      <x:c r="A11" s="55" t="s">
        <x:v>155</x:v>
      </x:c>
      <x:c r="B11" s="9">
        <x:f>COUNTIF(MATCH_LOG!A:A,A11)</x:f>
        <x:v>5</x:v>
      </x:c>
      <x:c r="C11" s="9">
        <x:f>COUNTIFS(MATCH_LOG!A:A,A11,MATCH_LOG!G:G,"승")</x:f>
        <x:v>2</x:v>
      </x:c>
      <x:c r="D11" s="9">
        <x:f>COUNTIFS(MATCH_LOG!A:A,A11,MATCH_LOG!G:G,"패")</x:f>
        <x:v>3</x:v>
      </x:c>
      <x:c r="E11" s="30">
        <x:f>IF(B11=0,0,C11/B11)</x:f>
        <x:v>0.40000000000000002</x:v>
      </x:c>
      <x:c r="F11" s="29">
        <x:f>IFERROR((SUMIFS(MATCH_LOG!D:D,MATCH_LOG!A:A,A11)+SUMIFS(MATCH_LOG!F:F,MATCH_LOG!A:A,A11))/SUMIFS(MATCH_LOG!E:E,MATCH_LOG!A:A,A11),0)</x:f>
        <x:v>3.5161290322580645</x:v>
      </x:c>
      <x:c r="G11" s="42">
        <x:f>IFERROR(COUNTIFS(MATCH_LOG!A:A,A11,MATCH_LOG!B:B,"TOP",MATCH_LOG!G:G,"승")/COUNTIFS(MATCH_LOG!A:A,A11,MATCH_LOG!B:B,"TOP"),0)</x:f>
        <x:v>0</x:v>
      </x:c>
      <x:c r="H11" s="42">
        <x:f>IFERROR(COUNTIFS(MATCH_LOG!A:A,A11,MATCH_LOG!B:B,"JG",MATCH_LOG!G:G,"승")/COUNTIFS(MATCH_LOG!A:A,A11,MATCH_LOG!B:B,"JG"),0)</x:f>
        <x:v>0.40000000000000002</x:v>
      </x:c>
      <x:c r="I11" s="42">
        <x:f>IFERROR(COUNTIFS(MATCH_LOG!A:A,A11,MATCH_LOG!B:B,"MID",MATCH_LOG!G:G,"승")/COUNTIFS(MATCH_LOG!A:A,A11,MATCH_LOG!B:B,"MID"),0)</x:f>
        <x:v>0</x:v>
      </x:c>
      <x:c r="J11" s="42">
        <x:f>IFERROR(COUNTIFS(MATCH_LOG!A:A,A11,MATCH_LOG!B:B,"ADC",MATCH_LOG!G:G,"승")/COUNTIFS(MATCH_LOG!A:A,A11,MATCH_LOG!B:B,"ADC"),0)</x:f>
        <x:v>0</x:v>
      </x:c>
      <x:c r="K11" s="42">
        <x:f>IFERROR(COUNTIFS(MATCH_LOG!A:A,A11,MATCH_LOG!B:B,"SUP",MATCH_LOG!G:G,"승")/COUNTIFS(MATCH_LOG!A:A,A11,MATCH_LOG!B:B,"SUP"),0)</x:f>
        <x:v>0</x:v>
      </x:c>
      <x:c r="L11" s="43" t="s">
        <x:v>88</x:v>
      </x:c>
      <x:c r="M11" s="61">
        <x:v>1</x:v>
      </x:c>
      <x:c r="N11" s="43" t="s">
        <x:v>129</x:v>
      </x:c>
      <x:c r="O11" s="61">
        <x:v>1</x:v>
      </x:c>
      <x:c r="P11" s="45" t="s">
        <x:v>92</x:v>
      </x:c>
      <x:c r="Q11" s="61">
        <x:v>1</x:v>
      </x:c>
      <x:c r="R11" s="47">
        <x:f>SUMIFS(MATCH_LOG!D:D,MATCH_LOG!A:A,A11)</x:f>
        <x:v>40</x:v>
      </x:c>
      <x:c r="S11" s="48">
        <x:f>SUMIFS(MATCH_LOG!E:E,MATCH_LOG!A:A,A11)</x:f>
        <x:v>31</x:v>
      </x:c>
      <x:c r="T11" s="49">
        <x:f>SUMIFS(MATCH_LOG!F:F,MATCH_LOG!A:A,A11)</x:f>
        <x:v>69</x:v>
      </x:c>
    </x:row>
    <x:row r="12" spans="1:20">
      <x:c r="A12" s="33" t="s">
        <x:v>71</x:v>
      </x:c>
      <x:c r="B12" s="9">
        <x:f>COUNTIF(MATCH_LOG!A:A,A12)</x:f>
        <x:v>21</x:v>
      </x:c>
      <x:c r="C12" s="9">
        <x:f>COUNTIFS(MATCH_LOG!A:A,A12,MATCH_LOG!G:G,"승")</x:f>
        <x:v>13</x:v>
      </x:c>
      <x:c r="D12" s="9">
        <x:f>COUNTIFS(MATCH_LOG!A:A,A12,MATCH_LOG!G:G,"패")</x:f>
        <x:v>8</x:v>
      </x:c>
      <x:c r="E12" s="30">
        <x:f t="shared" ref="E12:E16" si="1">IF(B12=0,0,C12/B12)</x:f>
        <x:v>0.61904761904761907</x:v>
      </x:c>
      <x:c r="F12" s="29">
        <x:f>IFERROR((SUMIFS(MATCH_LOG!D:D,MATCH_LOG!A:A,A12)+SUMIFS(MATCH_LOG!F:F,MATCH_LOG!A:A,A12))/SUMIFS(MATCH_LOG!E:E,MATCH_LOG!A:A,A12),0)</x:f>
        <x:v>4</x:v>
      </x:c>
      <x:c r="G12" s="42">
        <x:f>IFERROR(COUNTIFS(MATCH_LOG!A:A,A12,MATCH_LOG!B:B,"TOP",MATCH_LOG!G:G,"승")/COUNTIFS(MATCH_LOG!A:A,A12,MATCH_LOG!B:B,"TOP"),0)</x:f>
        <x:v>0.5</x:v>
      </x:c>
      <x:c r="H12" s="42">
        <x:f>IFERROR(COUNTIFS(MATCH_LOG!A:A,A12,MATCH_LOG!B:B,"JG",MATCH_LOG!G:G,"승")/COUNTIFS(MATCH_LOG!A:A,A12,MATCH_LOG!B:B,"JG"),0)</x:f>
        <x:v>1</x:v>
      </x:c>
      <x:c r="I12" s="42">
        <x:f>IFERROR(COUNTIFS(MATCH_LOG!A:A,A12,MATCH_LOG!B:B,"MID",MATCH_LOG!G:G,"승")/COUNTIFS(MATCH_LOG!A:A,A12,MATCH_LOG!B:B,"MID"),0)</x:f>
        <x:v>0.33333333333333331</x:v>
      </x:c>
      <x:c r="J12" s="42">
        <x:f>IFERROR(COUNTIFS(MATCH_LOG!A:A,A12,MATCH_LOG!B:B,"ADC",MATCH_LOG!G:G,"승")/COUNTIFS(MATCH_LOG!A:A,A12,MATCH_LOG!B:B,"ADC"),0)</x:f>
        <x:v>0</x:v>
      </x:c>
      <x:c r="K12" s="42">
        <x:f>IFERROR(COUNTIFS(MATCH_LOG!A:A,A12,MATCH_LOG!B:B,"SUP",MATCH_LOG!G:G,"승")/COUNTIFS(MATCH_LOG!A:A,A12,MATCH_LOG!B:B,"SUP"),0)</x:f>
        <x:v>0.7142857142857143</x:v>
      </x:c>
      <x:c r="L12" s="43" t="s">
        <x:v>125</x:v>
      </x:c>
      <x:c r="M12" s="61">
        <x:v>3</x:v>
      </x:c>
      <x:c r="N12" s="43" t="s">
        <x:v>40</x:v>
      </x:c>
      <x:c r="O12" s="61">
        <x:v>2</x:v>
      </x:c>
      <x:c r="P12" s="45" t="s">
        <x:v>86</x:v>
      </x:c>
      <x:c r="Q12" s="61">
        <x:v>2</x:v>
      </x:c>
      <x:c r="R12" s="47">
        <x:f>SUMIFS(MATCH_LOG!D:D,MATCH_LOG!A:A,A12)</x:f>
        <x:v>88</x:v>
      </x:c>
      <x:c r="S12" s="48">
        <x:f>SUMIFS(MATCH_LOG!E:E,MATCH_LOG!A:A,A12)</x:f>
        <x:v>89</x:v>
      </x:c>
      <x:c r="T12" s="49">
        <x:f>SUMIFS(MATCH_LOG!F:F,MATCH_LOG!A:A,A12)</x:f>
        <x:v>268</x:v>
      </x:c>
    </x:row>
    <x:row r="13" spans="1:20">
      <x:c r="A13" s="33" t="s">
        <x:v>50</x:v>
      </x:c>
      <x:c r="B13" s="9">
        <x:f>COUNTIF(MATCH_LOG!A:A,A13)</x:f>
        <x:v>26</x:v>
      </x:c>
      <x:c r="C13" s="9">
        <x:f>COUNTIFS(MATCH_LOG!A:A,A13,MATCH_LOG!G:G,"승")</x:f>
        <x:v>18</x:v>
      </x:c>
      <x:c r="D13" s="9">
        <x:f>COUNTIFS(MATCH_LOG!A:A,A13,MATCH_LOG!G:G,"패")</x:f>
        <x:v>8</x:v>
      </x:c>
      <x:c r="E13" s="30">
        <x:f t="shared" si="1"/>
        <x:v>0.69230769230769229</x:v>
      </x:c>
      <x:c r="F13" s="29">
        <x:f>IFERROR((SUMIFS(MATCH_LOG!D:D,MATCH_LOG!A:A,A13)+SUMIFS(MATCH_LOG!F:F,MATCH_LOG!A:A,A13))/SUMIFS(MATCH_LOG!E:E,MATCH_LOG!A:A,A13),0)</x:f>
        <x:v>3.7864077669902914</x:v>
      </x:c>
      <x:c r="G13" s="42">
        <x:f>IFERROR(COUNTIFS(MATCH_LOG!A:A,A13,MATCH_LOG!B:B,"TOP",MATCH_LOG!G:G,"승")/COUNTIFS(MATCH_LOG!A:A,A13,MATCH_LOG!B:B,"TOP"),0)</x:f>
        <x:v>0</x:v>
      </x:c>
      <x:c r="H13" s="42">
        <x:f>IFERROR(COUNTIFS(MATCH_LOG!A:A,A13,MATCH_LOG!B:B,"JG",MATCH_LOG!G:G,"승")/COUNTIFS(MATCH_LOG!A:A,A13,MATCH_LOG!B:B,"JG"),0)</x:f>
        <x:v>0</x:v>
      </x:c>
      <x:c r="I13" s="42">
        <x:f>IFERROR(COUNTIFS(MATCH_LOG!A:A,A13,MATCH_LOG!B:B,"MID",MATCH_LOG!G:G,"승")/COUNTIFS(MATCH_LOG!A:A,A13,MATCH_LOG!B:B,"MID"),0)</x:f>
        <x:v>0</x:v>
      </x:c>
      <x:c r="J13" s="42">
        <x:f>IFERROR(COUNTIFS(MATCH_LOG!A:A,A13,MATCH_LOG!B:B,"ADC",MATCH_LOG!G:G,"승")/COUNTIFS(MATCH_LOG!A:A,A13,MATCH_LOG!B:B,"ADC"),0)</x:f>
        <x:v>0.69230769230769229</x:v>
      </x:c>
      <x:c r="K13" s="42">
        <x:f>IFERROR(COUNTIFS(MATCH_LOG!A:A,A13,MATCH_LOG!B:B,"SUP",MATCH_LOG!G:G,"승")/COUNTIFS(MATCH_LOG!A:A,A13,MATCH_LOG!B:B,"SUP"),0)</x:f>
        <x:v>0</x:v>
      </x:c>
      <x:c r="L13" s="43" t="s">
        <x:v>111</x:v>
      </x:c>
      <x:c r="M13" s="61">
        <x:v>9</x:v>
      </x:c>
      <x:c r="N13" s="43" t="s">
        <x:v>96</x:v>
      </x:c>
      <x:c r="O13" s="61">
        <x:v>4</x:v>
      </x:c>
      <x:c r="P13" s="45" t="s">
        <x:v>159</x:v>
      </x:c>
      <x:c r="Q13" s="61">
        <x:v>2</x:v>
      </x:c>
      <x:c r="R13" s="47">
        <x:f>SUMIFS(MATCH_LOG!D:D,MATCH_LOG!A:A,A13)</x:f>
        <x:v>193</x:v>
      </x:c>
      <x:c r="S13" s="48">
        <x:f>SUMIFS(MATCH_LOG!E:E,MATCH_LOG!A:A,A13)</x:f>
        <x:v>103</x:v>
      </x:c>
      <x:c r="T13" s="49">
        <x:f>SUMIFS(MATCH_LOG!F:F,MATCH_LOG!A:A,A13)</x:f>
        <x:v>197</x:v>
      </x:c>
    </x:row>
    <x:row r="14" spans="1:20">
      <x:c r="A14" s="33" t="s">
        <x:v>20</x:v>
      </x:c>
      <x:c r="B14" s="9">
        <x:f>COUNTIF(MATCH_LOG!A:A,A14)</x:f>
        <x:v>11</x:v>
      </x:c>
      <x:c r="C14" s="9">
        <x:f>COUNTIFS(MATCH_LOG!A:A,A14,MATCH_LOG!G:G,"승")</x:f>
        <x:v>5</x:v>
      </x:c>
      <x:c r="D14" s="9">
        <x:f>COUNTIFS(MATCH_LOG!A:A,A14,MATCH_LOG!G:G,"패")</x:f>
        <x:v>6</x:v>
      </x:c>
      <x:c r="E14" s="30">
        <x:f t="shared" si="1"/>
        <x:v>0.45454545454545453</x:v>
      </x:c>
      <x:c r="F14" s="29">
        <x:f>IFERROR((SUMIFS(MATCH_LOG!D:D,MATCH_LOG!A:A,A14)+SUMIFS(MATCH_LOG!F:F,MATCH_LOG!A:A,A14))/SUMIFS(MATCH_LOG!E:E,MATCH_LOG!A:A,A14),0)</x:f>
        <x:v>1.6582278481012658</x:v>
      </x:c>
      <x:c r="G14" s="42">
        <x:f>IFERROR(COUNTIFS(MATCH_LOG!A:A,A14,MATCH_LOG!B:B,"TOP",MATCH_LOG!G:G,"승")/COUNTIFS(MATCH_LOG!A:A,A14,MATCH_LOG!B:B,"TOP"),0)</x:f>
        <x:v>0.5</x:v>
      </x:c>
      <x:c r="H14" s="42">
        <x:f>IFERROR(COUNTIFS(MATCH_LOG!A:A,A14,MATCH_LOG!B:B,"JG",MATCH_LOG!G:G,"승")/COUNTIFS(MATCH_LOG!A:A,A14,MATCH_LOG!B:B,"JG"),0)</x:f>
        <x:v>0.44444444444444442</x:v>
      </x:c>
      <x:c r="I14" s="42">
        <x:f>IFERROR(COUNTIFS(MATCH_LOG!A:A,A14,MATCH_LOG!B:B,"MID",MATCH_LOG!G:G,"승")/COUNTIFS(MATCH_LOG!A:A,A14,MATCH_LOG!B:B,"MID"),0)</x:f>
        <x:v>0</x:v>
      </x:c>
      <x:c r="J14" s="42">
        <x:f>IFERROR(COUNTIFS(MATCH_LOG!A:A,A14,MATCH_LOG!B:B,"ADC",MATCH_LOG!G:G,"승")/COUNTIFS(MATCH_LOG!A:A,A14,MATCH_LOG!B:B,"ADC"),0)</x:f>
        <x:v>0</x:v>
      </x:c>
      <x:c r="K14" s="42">
        <x:f>IFERROR(COUNTIFS(MATCH_LOG!A:A,A14,MATCH_LOG!B:B,"SUP",MATCH_LOG!G:G,"승")/COUNTIFS(MATCH_LOG!A:A,A14,MATCH_LOG!B:B,"SUP"),0)</x:f>
        <x:v>0</x:v>
      </x:c>
      <x:c r="L14" s="43" t="s">
        <x:v>116</x:v>
      </x:c>
      <x:c r="M14" s="61">
        <x:v>2</x:v>
      </x:c>
      <x:c r="N14" s="43" t="s">
        <x:v>27</x:v>
      </x:c>
      <x:c r="O14" s="61">
        <x:v>2</x:v>
      </x:c>
      <x:c r="P14" s="45" t="s">
        <x:v>188</x:v>
      </x:c>
      <x:c r="Q14" s="61">
        <x:v>1</x:v>
      </x:c>
      <x:c r="R14" s="47">
        <x:f>SUMIFS(MATCH_LOG!D:D,MATCH_LOG!A:A,A14)</x:f>
        <x:v>61</x:v>
      </x:c>
      <x:c r="S14" s="48">
        <x:f>SUMIFS(MATCH_LOG!E:E,MATCH_LOG!A:A,A14)</x:f>
        <x:v>79</x:v>
      </x:c>
      <x:c r="T14" s="49">
        <x:f>SUMIFS(MATCH_LOG!F:F,MATCH_LOG!A:A,A14)</x:f>
        <x:v>70</x:v>
      </x:c>
    </x:row>
    <x:row r="15" spans="1:20">
      <x:c r="A15" s="33" t="s">
        <x:v>49</x:v>
      </x:c>
      <x:c r="B15" s="9">
        <x:f>COUNTIF(MATCH_LOG!A:A,A15)</x:f>
        <x:v>5</x:v>
      </x:c>
      <x:c r="C15" s="9">
        <x:f>COUNTIFS(MATCH_LOG!A:A,A15,MATCH_LOG!G:G,"승")</x:f>
        <x:v>0</x:v>
      </x:c>
      <x:c r="D15" s="9">
        <x:f>COUNTIFS(MATCH_LOG!A:A,A15,MATCH_LOG!G:G,"패")</x:f>
        <x:v>5</x:v>
      </x:c>
      <x:c r="E15" s="30">
        <x:f t="shared" si="1"/>
        <x:v>0</x:v>
      </x:c>
      <x:c r="F15" s="29">
        <x:f>IFERROR((SUMIFS(MATCH_LOG!D:D,MATCH_LOG!A:A,A15)+SUMIFS(MATCH_LOG!F:F,MATCH_LOG!A:A,A15))/SUMIFS(MATCH_LOG!E:E,MATCH_LOG!A:A,A15),0)</x:f>
        <x:v>1.6428571428571428</x:v>
      </x:c>
      <x:c r="G15" s="42">
        <x:f>IFERROR(COUNTIFS(MATCH_LOG!A:A,A15,MATCH_LOG!B:B,"TOP",MATCH_LOG!G:G,"승")/COUNTIFS(MATCH_LOG!A:A,A15,MATCH_LOG!B:B,"TOP"),0)</x:f>
        <x:v>0</x:v>
      </x:c>
      <x:c r="H15" s="42">
        <x:f>IFERROR(COUNTIFS(MATCH_LOG!A:A,A15,MATCH_LOG!B:B,"JG",MATCH_LOG!G:G,"승")/COUNTIFS(MATCH_LOG!A:A,A15,MATCH_LOG!B:B,"JG"),0)</x:f>
        <x:v>0</x:v>
      </x:c>
      <x:c r="I15" s="42">
        <x:f>IFERROR(COUNTIFS(MATCH_LOG!A:A,A15,MATCH_LOG!B:B,"MID",MATCH_LOG!G:G,"승")/COUNTIFS(MATCH_LOG!A:A,A15,MATCH_LOG!B:B,"MID"),0)</x:f>
        <x:v>0</x:v>
      </x:c>
      <x:c r="J15" s="42">
        <x:f>IFERROR(COUNTIFS(MATCH_LOG!A:A,A15,MATCH_LOG!B:B,"ADC",MATCH_LOG!G:G,"승")/COUNTIFS(MATCH_LOG!A:A,A15,MATCH_LOG!B:B,"ADC"),0)</x:f>
        <x:v>0</x:v>
      </x:c>
      <x:c r="K15" s="42">
        <x:f>IFERROR(COUNTIFS(MATCH_LOG!A:A,A15,MATCH_LOG!B:B,"SUP",MATCH_LOG!G:G,"승")/COUNTIFS(MATCH_LOG!A:A,A15,MATCH_LOG!B:B,"SUP"),0)</x:f>
        <x:v>0</x:v>
      </x:c>
      <x:c r="L15" s="43" t="s">
        <x:v>87</x:v>
      </x:c>
      <x:c r="M15" s="61">
        <x:v>1</x:v>
      </x:c>
      <x:c r="N15" s="43" t="s">
        <x:v>102</x:v>
      </x:c>
      <x:c r="O15" s="61">
        <x:v>1</x:v>
      </x:c>
      <x:c r="P15" s="45" t="s">
        <x:v>114</x:v>
      </x:c>
      <x:c r="Q15" s="61">
        <x:v>1</x:v>
      </x:c>
      <x:c r="R15" s="47">
        <x:f>SUMIFS(MATCH_LOG!D:D,MATCH_LOG!A:A,A15)</x:f>
        <x:v>33</x:v>
      </x:c>
      <x:c r="S15" s="48">
        <x:f>SUMIFS(MATCH_LOG!E:E,MATCH_LOG!A:A,A15)</x:f>
        <x:v>28</x:v>
      </x:c>
      <x:c r="T15" s="49">
        <x:f>SUMIFS(MATCH_LOG!F:F,MATCH_LOG!A:A,A15)</x:f>
        <x:v>13</x:v>
      </x:c>
    </x:row>
    <x:row r="16" spans="1:20">
      <x:c r="A16" s="33" t="s">
        <x:v>59</x:v>
      </x:c>
      <x:c r="B16" s="9">
        <x:f>COUNTIF(MATCH_LOG!A:A,A16)</x:f>
        <x:v>21</x:v>
      </x:c>
      <x:c r="C16" s="9">
        <x:f>COUNTIFS(MATCH_LOG!A:A,A16,MATCH_LOG!G:G,"승")</x:f>
        <x:v>7</x:v>
      </x:c>
      <x:c r="D16" s="9">
        <x:f>COUNTIFS(MATCH_LOG!A:A,A16,MATCH_LOG!G:G,"패")</x:f>
        <x:v>14</x:v>
      </x:c>
      <x:c r="E16" s="30">
        <x:f t="shared" si="1"/>
        <x:v>0.33333333333333331</x:v>
      </x:c>
      <x:c r="F16" s="29">
        <x:f>IFERROR((SUMIFS(MATCH_LOG!D:D,MATCH_LOG!A:A,A16)+SUMIFS(MATCH_LOG!F:F,MATCH_LOG!A:A,A16))/SUMIFS(MATCH_LOG!E:E,MATCH_LOG!A:A,A16),0)</x:f>
        <x:v>2.3999999999999999</x:v>
      </x:c>
      <x:c r="G16" s="42">
        <x:f>IFERROR(COUNTIFS(MATCH_LOG!A:A,A16,MATCH_LOG!B:B,"TOP",MATCH_LOG!G:G,"승")/COUNTIFS(MATCH_LOG!A:A,A16,MATCH_LOG!B:B,"TOP"),0)</x:f>
        <x:v>0</x:v>
      </x:c>
      <x:c r="H16" s="42">
        <x:f>IFERROR(COUNTIFS(MATCH_LOG!A:A,A16,MATCH_LOG!B:B,"JG",MATCH_LOG!G:G,"승")/COUNTIFS(MATCH_LOG!A:A,A16,MATCH_LOG!B:B,"JG"),0)</x:f>
        <x:v>0.1111111111111111</x:v>
      </x:c>
      <x:c r="I16" s="42">
        <x:f>IFERROR(COUNTIFS(MATCH_LOG!A:A,A16,MATCH_LOG!B:B,"MID",MATCH_LOG!G:G,"승")/COUNTIFS(MATCH_LOG!A:A,A16,MATCH_LOG!B:B,"MID"),0)</x:f>
        <x:v>1</x:v>
      </x:c>
      <x:c r="J16" s="42">
        <x:f>IFERROR(COUNTIFS(MATCH_LOG!A:A,A16,MATCH_LOG!B:B,"ADC",MATCH_LOG!G:G,"승")/COUNTIFS(MATCH_LOG!A:A,A16,MATCH_LOG!B:B,"ADC"),0)</x:f>
        <x:v>1</x:v>
      </x:c>
      <x:c r="K16" s="42">
        <x:f>IFERROR(COUNTIFS(MATCH_LOG!A:A,A16,MATCH_LOG!B:B,"SUP",MATCH_LOG!G:G,"승")/COUNTIFS(MATCH_LOG!A:A,A16,MATCH_LOG!B:B,"SUP"),0)</x:f>
        <x:v>0</x:v>
      </x:c>
      <x:c r="L16" s="43" t="s">
        <x:v>101</x:v>
      </x:c>
      <x:c r="M16" s="61">
        <x:v>2</x:v>
      </x:c>
      <x:c r="N16" s="43" t="s">
        <x:v>97</x:v>
      </x:c>
      <x:c r="O16" s="61">
        <x:v>2</x:v>
      </x:c>
      <x:c r="P16" s="45" t="s">
        <x:v>125</x:v>
      </x:c>
      <x:c r="Q16" s="61">
        <x:v>1</x:v>
      </x:c>
      <x:c r="R16" s="47">
        <x:f>SUMIFS(MATCH_LOG!D:D,MATCH_LOG!A:A,A16)</x:f>
        <x:v>107</x:v>
      </x:c>
      <x:c r="S16" s="48">
        <x:f>SUMIFS(MATCH_LOG!E:E,MATCH_LOG!A:A,A16)</x:f>
        <x:v>120</x:v>
      </x:c>
      <x:c r="T16" s="49">
        <x:f>SUMIFS(MATCH_LOG!F:F,MATCH_LOG!A:A,A16)</x:f>
        <x:v>181</x:v>
      </x:c>
    </x:row>
    <x:row r="17" spans="1:20">
      <x:c r="A17" s="33" t="s">
        <x:v>123</x:v>
      </x:c>
      <x:c r="B17" s="9">
        <x:f>COUNTIF(MATCH_LOG!A:A,A17)</x:f>
        <x:v>11</x:v>
      </x:c>
      <x:c r="C17" s="9">
        <x:f>COUNTIFS(MATCH_LOG!A:A,A17,MATCH_LOG!G:G,"승")</x:f>
        <x:v>3</x:v>
      </x:c>
      <x:c r="D17" s="9">
        <x:f>COUNTIFS(MATCH_LOG!A:A,A17,MATCH_LOG!G:G,"패")</x:f>
        <x:v>8</x:v>
      </x:c>
      <x:c r="E17" s="30">
        <x:f>IF(B17=0,0,C17/B17)</x:f>
        <x:v>0.27272727272727271</x:v>
      </x:c>
      <x:c r="F17" s="29">
        <x:f>IFERROR((SUMIFS(MATCH_LOG!D:D,MATCH_LOG!A:A,A17)+SUMIFS(MATCH_LOG!F:F,MATCH_LOG!A:A,A17))/SUMIFS(MATCH_LOG!E:E,MATCH_LOG!A:A,A17),0)</x:f>
        <x:v>1.9154929577464788</x:v>
      </x:c>
      <x:c r="G17" s="42">
        <x:f>IFERROR(COUNTIFS(MATCH_LOG!A:A,A17,MATCH_LOG!B:B,"TOP",MATCH_LOG!G:G,"승")/COUNTIFS(MATCH_LOG!A:A,A17,MATCH_LOG!B:B,"TOP"),0)</x:f>
        <x:v>0</x:v>
      </x:c>
      <x:c r="H17" s="42">
        <x:f>IFERROR(COUNTIFS(MATCH_LOG!A:A,A17,MATCH_LOG!B:B,"JG",MATCH_LOG!G:G,"승")/COUNTIFS(MATCH_LOG!A:A,A17,MATCH_LOG!B:B,"JG"),0)</x:f>
        <x:v>0.33333333333333331</x:v>
      </x:c>
      <x:c r="I17" s="42">
        <x:f>IFERROR(COUNTIFS(MATCH_LOG!A:A,A17,MATCH_LOG!B:B,"MID",MATCH_LOG!G:G,"승")/COUNTIFS(MATCH_LOG!A:A,A17,MATCH_LOG!B:B,"MID"),0)</x:f>
        <x:v>0.25</x:v>
      </x:c>
      <x:c r="J17" s="42">
        <x:f>IFERROR(COUNTIFS(MATCH_LOG!A:A,A17,MATCH_LOG!B:B,"ADC",MATCH_LOG!G:G,"승")/COUNTIFS(MATCH_LOG!A:A,A17,MATCH_LOG!B:B,"ADC"),0)</x:f>
        <x:v>0</x:v>
      </x:c>
      <x:c r="K17" s="42">
        <x:f>IFERROR(COUNTIFS(MATCH_LOG!A:A,A17,MATCH_LOG!B:B,"SUP",MATCH_LOG!G:G,"승")/COUNTIFS(MATCH_LOG!A:A,A17,MATCH_LOG!B:B,"SUP"),0)</x:f>
        <x:v>0</x:v>
      </x:c>
      <x:c r="L17" s="43" t="s">
        <x:v>117</x:v>
      </x:c>
      <x:c r="M17" s="61">
        <x:v>3</x:v>
      </x:c>
      <x:c r="N17" s="43" t="s">
        <x:v>188</x:v>
      </x:c>
      <x:c r="O17" s="61">
        <x:v>3</x:v>
      </x:c>
      <x:c r="P17" s="45" t="s">
        <x:v>114</x:v>
      </x:c>
      <x:c r="Q17" s="61">
        <x:v>2</x:v>
      </x:c>
      <x:c r="R17" s="47">
        <x:f>SUMIFS(MATCH_LOG!D:D,MATCH_LOG!A:A,A17)</x:f>
        <x:v>61</x:v>
      </x:c>
      <x:c r="S17" s="48">
        <x:f>SUMIFS(MATCH_LOG!E:E,MATCH_LOG!A:A,A17)</x:f>
        <x:v>71</x:v>
      </x:c>
      <x:c r="T17" s="49">
        <x:f>SUMIFS(MATCH_LOG!F:F,MATCH_LOG!A:A,A17)</x:f>
        <x:v>75</x:v>
      </x:c>
    </x:row>
    <x:row r="18" spans="1:20">
      <x:c r="A18" s="33" t="s">
        <x:v>124</x:v>
      </x:c>
      <x:c r="B18" s="9">
        <x:f>COUNTIF(MATCH_LOG!A:A,A18)</x:f>
        <x:v>9</x:v>
      </x:c>
      <x:c r="C18" s="9">
        <x:f>COUNTIFS(MATCH_LOG!A:A,A18,MATCH_LOG!G:G,"승")</x:f>
        <x:v>3</x:v>
      </x:c>
      <x:c r="D18" s="9">
        <x:f>COUNTIFS(MATCH_LOG!A:A,A18,MATCH_LOG!G:G,"패")</x:f>
        <x:v>6</x:v>
      </x:c>
      <x:c r="E18" s="30">
        <x:f>IF(B18=0,0,C18/B18)</x:f>
        <x:v>0.33333333333333331</x:v>
      </x:c>
      <x:c r="F18" s="29">
        <x:f>IFERROR((SUMIFS(MATCH_LOG!D:D,MATCH_LOG!A:A,A18)+SUMIFS(MATCH_LOG!F:F,MATCH_LOG!A:A,A18))/SUMIFS(MATCH_LOG!E:E,MATCH_LOG!A:A,A18),0)</x:f>
        <x:v>2.296875</x:v>
      </x:c>
      <x:c r="G18" s="42">
        <x:f>IFERROR(COUNTIFS(MATCH_LOG!A:A,A18,MATCH_LOG!B:B,"TOP",MATCH_LOG!G:G,"승")/COUNTIFS(MATCH_LOG!A:A,A18,MATCH_LOG!B:B,"TOP"),0)</x:f>
        <x:v>0</x:v>
      </x:c>
      <x:c r="H18" s="42">
        <x:f>IFERROR(COUNTIFS(MATCH_LOG!A:A,A18,MATCH_LOG!B:B,"JG",MATCH_LOG!G:G,"승")/COUNTIFS(MATCH_LOG!A:A,A18,MATCH_LOG!B:B,"JG"),0)</x:f>
        <x:v>0.20000000000000001</x:v>
      </x:c>
      <x:c r="I18" s="42">
        <x:f>IFERROR(COUNTIFS(MATCH_LOG!A:A,A18,MATCH_LOG!B:B,"MID",MATCH_LOG!G:G,"승")/COUNTIFS(MATCH_LOG!A:A,A18,MATCH_LOG!B:B,"MID"),0)</x:f>
        <x:v>0</x:v>
      </x:c>
      <x:c r="J18" s="42">
        <x:f>IFERROR(COUNTIFS(MATCH_LOG!A:A,A18,MATCH_LOG!B:B,"ADC",MATCH_LOG!G:G,"승")/COUNTIFS(MATCH_LOG!A:A,A18,MATCH_LOG!B:B,"ADC"),0)</x:f>
        <x:v>0.5</x:v>
      </x:c>
      <x:c r="K18" s="42">
        <x:f>IFERROR(COUNTIFS(MATCH_LOG!A:A,A18,MATCH_LOG!B:B,"SUP",MATCH_LOG!G:G,"승")/COUNTIFS(MATCH_LOG!A:A,A18,MATCH_LOG!B:B,"SUP"),0)</x:f>
        <x:v>0</x:v>
      </x:c>
      <x:c r="L18" s="43" t="s">
        <x:v>88</x:v>
      </x:c>
      <x:c r="M18" s="61">
        <x:v>2</x:v>
      </x:c>
      <x:c r="N18" s="43" t="s">
        <x:v>101</x:v>
      </x:c>
      <x:c r="O18" s="61">
        <x:v>1</x:v>
      </x:c>
      <x:c r="P18" s="45" t="s">
        <x:v>138</x:v>
      </x:c>
      <x:c r="Q18" s="61">
        <x:v>1</x:v>
      </x:c>
      <x:c r="R18" s="47">
        <x:f>SUMIFS(MATCH_LOG!D:D,MATCH_LOG!A:A,A18)</x:f>
        <x:v>81</x:v>
      </x:c>
      <x:c r="S18" s="48">
        <x:f>SUMIFS(MATCH_LOG!E:E,MATCH_LOG!A:A,A18)</x:f>
        <x:v>64</x:v>
      </x:c>
      <x:c r="T18" s="49">
        <x:f>SUMIFS(MATCH_LOG!F:F,MATCH_LOG!A:A,A18)</x:f>
        <x:v>66</x:v>
      </x:c>
    </x:row>
    <x:row r="19" spans="1:20">
      <x:c r="A19" s="33" t="s">
        <x:v>137</x:v>
      </x:c>
      <x:c r="B19" s="9">
        <x:f>COUNTIF(MATCH_LOG!A:A,A19)</x:f>
        <x:v>2</x:v>
      </x:c>
      <x:c r="C19" s="9">
        <x:f>COUNTIFS(MATCH_LOG!A:A,A19,MATCH_LOG!G:G,"승")</x:f>
        <x:v>2</x:v>
      </x:c>
      <x:c r="D19" s="9">
        <x:f>COUNTIFS(MATCH_LOG!A:A,A19,MATCH_LOG!G:G,"패")</x:f>
        <x:v>0</x:v>
      </x:c>
      <x:c r="E19" s="30">
        <x:f>IF(B19=0,0,C19/B19)</x:f>
        <x:v>1</x:v>
      </x:c>
      <x:c r="F19" s="29">
        <x:f>IFERROR((SUMIFS(MATCH_LOG!D:D,MATCH_LOG!A:A,A19)+SUMIFS(MATCH_LOG!F:F,MATCH_LOG!A:A,A19))/SUMIFS(MATCH_LOG!E:E,MATCH_LOG!A:A,A19),0)</x:f>
        <x:v>2.7999999999999998</x:v>
      </x:c>
      <x:c r="G19" s="42">
        <x:f>IFERROR(COUNTIFS(MATCH_LOG!A:A,A19,MATCH_LOG!B:B,"TOP",MATCH_LOG!G:G,"승")/COUNTIFS(MATCH_LOG!A:A,A19,MATCH_LOG!B:B,"TOP"),0)</x:f>
        <x:v>0</x:v>
      </x:c>
      <x:c r="H19" s="42">
        <x:f>IFERROR(COUNTIFS(MATCH_LOG!A:A,A19,MATCH_LOG!B:B,"JG",MATCH_LOG!G:G,"승")/COUNTIFS(MATCH_LOG!A:A,A19,MATCH_LOG!B:B,"JG"),0)</x:f>
        <x:v>1</x:v>
      </x:c>
      <x:c r="I19" s="42">
        <x:f>IFERROR(COUNTIFS(MATCH_LOG!A:A,A19,MATCH_LOG!B:B,"MID",MATCH_LOG!G:G,"승")/COUNTIFS(MATCH_LOG!A:A,A19,MATCH_LOG!B:B,"MID"),0)</x:f>
        <x:v>0</x:v>
      </x:c>
      <x:c r="J19" s="42">
        <x:f>IFERROR(COUNTIFS(MATCH_LOG!A:A,A19,MATCH_LOG!B:B,"ADC",MATCH_LOG!G:G,"승")/COUNTIFS(MATCH_LOG!A:A,A19,MATCH_LOG!B:B,"ADC"),0)</x:f>
        <x:v>0</x:v>
      </x:c>
      <x:c r="K19" s="42">
        <x:f>IFERROR(COUNTIFS(MATCH_LOG!A:A,A19,MATCH_LOG!B:B,"SUP",MATCH_LOG!G:G,"승")/COUNTIFS(MATCH_LOG!A:A,A19,MATCH_LOG!B:B,"SUP"),0)</x:f>
        <x:v>0</x:v>
      </x:c>
      <x:c r="L19" s="43" t="s">
        <x:v>92</x:v>
      </x:c>
      <x:c r="M19" s="61">
        <x:v>1</x:v>
      </x:c>
      <x:c r="N19" s="43" t="s">
        <x:v>97</x:v>
      </x:c>
      <x:c r="O19" s="61">
        <x:v>1</x:v>
      </x:c>
      <x:c r="P19" s="45" t="s">
        <x:v>148</x:v>
      </x:c>
      <x:c r="Q19" s="61" t="s">
        <x:v>148</x:v>
      </x:c>
      <x:c r="R19" s="47">
        <x:f>SUMIFS(MATCH_LOG!D:D,MATCH_LOG!A:A,A19)</x:f>
        <x:v>17</x:v>
      </x:c>
      <x:c r="S19" s="48">
        <x:f>SUMIFS(MATCH_LOG!E:E,MATCH_LOG!A:A,A19)</x:f>
        <x:v>10</x:v>
      </x:c>
      <x:c r="T19" s="49">
        <x:f>SUMIFS(MATCH_LOG!F:F,MATCH_LOG!A:A,A19)</x:f>
        <x:v>11</x:v>
      </x:c>
    </x:row>
    <x:row r="20" spans="1:20">
      <x:c r="A20" s="32" t="s">
        <x:v>62</x:v>
      </x:c>
      <x:c r="B20" s="9">
        <x:f>COUNTIF(MATCH_LOG!A:A,A20)</x:f>
        <x:v>17</x:v>
      </x:c>
      <x:c r="C20" s="9">
        <x:f>COUNTIFS(MATCH_LOG!A:A,A20,MATCH_LOG!G:G,"승")</x:f>
        <x:v>10</x:v>
      </x:c>
      <x:c r="D20" s="9">
        <x:f>COUNTIFS(MATCH_LOG!A:A,A20,MATCH_LOG!G:G,"패")</x:f>
        <x:v>7</x:v>
      </x:c>
      <x:c r="E20" s="30">
        <x:f>IF(B20=0,0,C20/B20)</x:f>
        <x:v>0.58823529411764708</x:v>
      </x:c>
      <x:c r="F20" s="29">
        <x:f>IFERROR((SUMIFS(MATCH_LOG!D:D,MATCH_LOG!A:A,A20)+SUMIFS(MATCH_LOG!F:F,MATCH_LOG!A:A,A20))/SUMIFS(MATCH_LOG!E:E,MATCH_LOG!A:A,A20),0)</x:f>
        <x:v>3.0930232558139537</x:v>
      </x:c>
      <x:c r="G20" s="42">
        <x:f>IFERROR(COUNTIFS(MATCH_LOG!A:A,A20,MATCH_LOG!B:B,"TOP",MATCH_LOG!G:G,"승")/COUNTIFS(MATCH_LOG!A:A,A20,MATCH_LOG!B:B,"TOP"),0)</x:f>
        <x:v>0.83333333333333337</x:v>
      </x:c>
      <x:c r="H20" s="42">
        <x:f>IFERROR(COUNTIFS(MATCH_LOG!A:A,A20,MATCH_LOG!B:B,"JG",MATCH_LOG!G:G,"승")/COUNTIFS(MATCH_LOG!A:A,A20,MATCH_LOG!B:B,"JG"),0)</x:f>
        <x:v>0</x:v>
      </x:c>
      <x:c r="I20" s="42">
        <x:f>IFERROR(COUNTIFS(MATCH_LOG!A:A,A20,MATCH_LOG!B:B,"MID",MATCH_LOG!G:G,"승")/COUNTIFS(MATCH_LOG!A:A,A20,MATCH_LOG!B:B,"MID"),0)</x:f>
        <x:v>0.5</x:v>
      </x:c>
      <x:c r="J20" s="42">
        <x:f>IFERROR(COUNTIFS(MATCH_LOG!A:A,A20,MATCH_LOG!B:B,"ADC",MATCH_LOG!G:G,"승")/COUNTIFS(MATCH_LOG!A:A,A20,MATCH_LOG!B:B,"ADC"),0)</x:f>
        <x:v>0.5</x:v>
      </x:c>
      <x:c r="K20" s="42">
        <x:f>IFERROR(COUNTIFS(MATCH_LOG!A:A,A20,MATCH_LOG!B:B,"SUP",MATCH_LOG!G:G,"승")/COUNTIFS(MATCH_LOG!A:A,A20,MATCH_LOG!B:B,"SUP"),0)</x:f>
        <x:v>0</x:v>
      </x:c>
      <x:c r="L20" s="43" t="s">
        <x:v>52</x:v>
      </x:c>
      <x:c r="M20" s="61">
        <x:v>4</x:v>
      </x:c>
      <x:c r="N20" s="43" t="s">
        <x:v>165</x:v>
      </x:c>
      <x:c r="O20" s="61">
        <x:v>4</x:v>
      </x:c>
      <x:c r="P20" s="45" t="s">
        <x:v>40</x:v>
      </x:c>
      <x:c r="Q20" s="61">
        <x:v>2</x:v>
      </x:c>
      <x:c r="R20" s="47">
        <x:f>SUMIFS(MATCH_LOG!D:D,MATCH_LOG!A:A,A20)</x:f>
        <x:v>145</x:v>
      </x:c>
      <x:c r="S20" s="48">
        <x:f>SUMIFS(MATCH_LOG!E:E,MATCH_LOG!A:A,A20)</x:f>
        <x:v>86</x:v>
      </x:c>
      <x:c r="T20" s="49">
        <x:f>SUMIFS(MATCH_LOG!F:F,MATCH_LOG!A:A,A20)</x:f>
        <x:v>121</x:v>
      </x:c>
    </x:row>
    <x:row r="21" spans="1:20">
      <x:c r="A21" s="32" t="s">
        <x:v>44</x:v>
      </x:c>
      <x:c r="B21" s="9">
        <x:f>COUNTIF(MATCH_LOG!A:A,A21)</x:f>
        <x:v>18</x:v>
      </x:c>
      <x:c r="C21" s="9">
        <x:f>COUNTIFS(MATCH_LOG!A:A,A21,MATCH_LOG!G:G,"승")</x:f>
        <x:v>9</x:v>
      </x:c>
      <x:c r="D21" s="9">
        <x:f>COUNTIFS(MATCH_LOG!A:A,A21,MATCH_LOG!G:G,"패")</x:f>
        <x:v>9</x:v>
      </x:c>
      <x:c r="E21" s="30">
        <x:f>IF(B21=0,0,C21/B21)</x:f>
        <x:v>0.5</x:v>
      </x:c>
      <x:c r="F21" s="29">
        <x:f>IFERROR((SUMIFS(MATCH_LOG!D:D,MATCH_LOG!A:A,A21)+SUMIFS(MATCH_LOG!F:F,MATCH_LOG!A:A,A21))/SUMIFS(MATCH_LOG!E:E,MATCH_LOG!A:A,A21),0)</x:f>
        <x:v>1.3106060606060606</x:v>
      </x:c>
      <x:c r="G21" s="42">
        <x:f>IFERROR(COUNTIFS(MATCH_LOG!A:A,A21,MATCH_LOG!B:B,"TOP",MATCH_LOG!G:G,"승")/COUNTIFS(MATCH_LOG!A:A,A21,MATCH_LOG!B:B,"TOP"),0)</x:f>
        <x:v>0.125</x:v>
      </x:c>
      <x:c r="H21" s="42">
        <x:f>IFERROR(COUNTIFS(MATCH_LOG!A:A,A21,MATCH_LOG!B:B,"JG",MATCH_LOG!G:G,"승")/COUNTIFS(MATCH_LOG!A:A,A21,MATCH_LOG!B:B,"JG"),0)</x:f>
        <x:v>0.875</x:v>
      </x:c>
      <x:c r="I21" s="42">
        <x:f>IFERROR(COUNTIFS(MATCH_LOG!A:A,A21,MATCH_LOG!B:B,"MID",MATCH_LOG!G:G,"승")/COUNTIFS(MATCH_LOG!A:A,A21,MATCH_LOG!B:B,"MID"),0)</x:f>
        <x:v>1</x:v>
      </x:c>
      <x:c r="J21" s="42">
        <x:f>IFERROR(COUNTIFS(MATCH_LOG!A:A,A21,MATCH_LOG!B:B,"ADC",MATCH_LOG!G:G,"승")/COUNTIFS(MATCH_LOG!A:A,A21,MATCH_LOG!B:B,"ADC"),0)</x:f>
        <x:v>0</x:v>
      </x:c>
      <x:c r="K21" s="42">
        <x:f>IFERROR(COUNTIFS(MATCH_LOG!A:A,A21,MATCH_LOG!B:B,"SUP",MATCH_LOG!G:G,"승")/COUNTIFS(MATCH_LOG!A:A,A21,MATCH_LOG!B:B,"SUP"),0)</x:f>
        <x:v>0</x:v>
      </x:c>
      <x:c r="L21" s="43" t="s">
        <x:v>88</x:v>
      </x:c>
      <x:c r="M21" s="61">
        <x:v>2</x:v>
      </x:c>
      <x:c r="N21" s="43" t="s">
        <x:v>117</x:v>
      </x:c>
      <x:c r="O21" s="61">
        <x:v>2</x:v>
      </x:c>
      <x:c r="P21" s="45" t="s">
        <x:v>63</x:v>
      </x:c>
      <x:c r="Q21" s="61">
        <x:v>1</x:v>
      </x:c>
      <x:c r="R21" s="47">
        <x:f>SUMIFS(MATCH_LOG!D:D,MATCH_LOG!A:A,A21)</x:f>
        <x:v>85</x:v>
      </x:c>
      <x:c r="S21" s="48">
        <x:f>SUMIFS(MATCH_LOG!E:E,MATCH_LOG!A:A,A21)</x:f>
        <x:v>132</x:v>
      </x:c>
      <x:c r="T21" s="49">
        <x:f>SUMIFS(MATCH_LOG!F:F,MATCH_LOG!A:A,A21)</x:f>
        <x:v>88</x:v>
      </x:c>
    </x:row>
    <x:row r="22" spans="1:20">
      <x:c r="A22" s="32" t="s">
        <x:v>55</x:v>
      </x:c>
      <x:c r="B22" s="9">
        <x:f>COUNTIF(MATCH_LOG!A:A,A22)</x:f>
        <x:v>13</x:v>
      </x:c>
      <x:c r="C22" s="9">
        <x:f>COUNTIFS(MATCH_LOG!A:A,A22,MATCH_LOG!G:G,"승")</x:f>
        <x:v>5</x:v>
      </x:c>
      <x:c r="D22" s="9">
        <x:f>COUNTIFS(MATCH_LOG!A:A,A22,MATCH_LOG!G:G,"패")</x:f>
        <x:v>8</x:v>
      </x:c>
      <x:c r="E22" s="30">
        <x:f>IF(B22=0,0,C22/B22)</x:f>
        <x:v>0.38461538461538464</x:v>
      </x:c>
      <x:c r="F22" s="29">
        <x:f>IFERROR((SUMIFS(MATCH_LOG!D:D,MATCH_LOG!A:A,A22)+SUMIFS(MATCH_LOG!F:F,MATCH_LOG!A:A,A22))/SUMIFS(MATCH_LOG!E:E,MATCH_LOG!A:A,A22),0)</x:f>
        <x:v>1.7411764705882353</x:v>
      </x:c>
      <x:c r="G22" s="42">
        <x:f>IFERROR(COUNTIFS(MATCH_LOG!A:A,A22,MATCH_LOG!B:B,"TOP",MATCH_LOG!G:G,"승")/COUNTIFS(MATCH_LOG!A:A,A22,MATCH_LOG!B:B,"TOP"),0)</x:f>
        <x:v>0.33333333333333331</x:v>
      </x:c>
      <x:c r="H22" s="42">
        <x:f>IFERROR(COUNTIFS(MATCH_LOG!A:A,A22,MATCH_LOG!B:B,"JG",MATCH_LOG!G:G,"승")/COUNTIFS(MATCH_LOG!A:A,A22,MATCH_LOG!B:B,"JG"),0)</x:f>
        <x:v>0.5</x:v>
      </x:c>
      <x:c r="I22" s="42">
        <x:f>IFERROR(COUNTIFS(MATCH_LOG!A:A,A22,MATCH_LOG!B:B,"MID",MATCH_LOG!G:G,"승")/COUNTIFS(MATCH_LOG!A:A,A22,MATCH_LOG!B:B,"MID"),0)</x:f>
        <x:v>0.2857142857142857</x:v>
      </x:c>
      <x:c r="J22" s="42">
        <x:f>IFERROR(COUNTIFS(MATCH_LOG!A:A,A22,MATCH_LOG!B:B,"ADC",MATCH_LOG!G:G,"승")/COUNTIFS(MATCH_LOG!A:A,A22,MATCH_LOG!B:B,"ADC"),0)</x:f>
        <x:v>0</x:v>
      </x:c>
      <x:c r="K22" s="42">
        <x:f>IFERROR(COUNTIFS(MATCH_LOG!A:A,A22,MATCH_LOG!B:B,"SUP",MATCH_LOG!G:G,"승")/COUNTIFS(MATCH_LOG!A:A,A22,MATCH_LOG!B:B,"SUP"),0)</x:f>
        <x:v>1</x:v>
      </x:c>
      <x:c r="L22" s="43" t="s">
        <x:v>106</x:v>
      </x:c>
      <x:c r="M22" s="61">
        <x:v>4</x:v>
      </x:c>
      <x:c r="N22" s="43" t="s">
        <x:v>140</x:v>
      </x:c>
      <x:c r="O22" s="61">
        <x:v>2</x:v>
      </x:c>
      <x:c r="P22" s="45" t="s">
        <x:v>180</x:v>
      </x:c>
      <x:c r="Q22" s="61">
        <x:v>1</x:v>
      </x:c>
      <x:c r="R22" s="47">
        <x:f>SUMIFS(MATCH_LOG!D:D,MATCH_LOG!A:A,A22)</x:f>
        <x:v>44</x:v>
      </x:c>
      <x:c r="S22" s="48">
        <x:f>SUMIFS(MATCH_LOG!E:E,MATCH_LOG!A:A,A22)</x:f>
        <x:v>85</x:v>
      </x:c>
      <x:c r="T22" s="49">
        <x:f>SUMIFS(MATCH_LOG!F:F,MATCH_LOG!A:A,A22)</x:f>
        <x:v>104</x:v>
      </x:c>
    </x:row>
    <x:row r="23" spans="1:20">
      <x:c r="A23" s="32" t="s">
        <x:v>75</x:v>
      </x:c>
      <x:c r="B23" s="9">
        <x:f>COUNTIF(MATCH_LOG!A:A,A23)</x:f>
        <x:v>12</x:v>
      </x:c>
      <x:c r="C23" s="9">
        <x:f>COUNTIFS(MATCH_LOG!A:A,A23,MATCH_LOG!G:G,"승")</x:f>
        <x:v>7</x:v>
      </x:c>
      <x:c r="D23" s="9">
        <x:f>COUNTIFS(MATCH_LOG!A:A,A23,MATCH_LOG!G:G,"패")</x:f>
        <x:v>5</x:v>
      </x:c>
      <x:c r="E23" s="30">
        <x:f>IF(B23=0,0,C23/B23)</x:f>
        <x:v>0.58333333333333337</x:v>
      </x:c>
      <x:c r="F23" s="29">
        <x:f>IFERROR((SUMIFS(MATCH_LOG!D:D,MATCH_LOG!A:A,A23)+SUMIFS(MATCH_LOG!F:F,MATCH_LOG!A:A,A23))/SUMIFS(MATCH_LOG!E:E,MATCH_LOG!A:A,A23),0)</x:f>
        <x:v>2.1621621621621623</x:v>
      </x:c>
      <x:c r="G23" s="42">
        <x:f>IFERROR(COUNTIFS(MATCH_LOG!A:A,A23,MATCH_LOG!B:B,"TOP",MATCH_LOG!G:G,"승")/COUNTIFS(MATCH_LOG!A:A,A23,MATCH_LOG!B:B,"TOP"),0)</x:f>
        <x:v>0.5</x:v>
      </x:c>
      <x:c r="H23" s="42">
        <x:f>IFERROR(COUNTIFS(MATCH_LOG!A:A,A23,MATCH_LOG!B:B,"JG",MATCH_LOG!G:G,"승")/COUNTIFS(MATCH_LOG!A:A,A23,MATCH_LOG!B:B,"JG"),0)</x:f>
        <x:v>0</x:v>
      </x:c>
      <x:c r="I23" s="42">
        <x:f>IFERROR(COUNTIFS(MATCH_LOG!A:A,A23,MATCH_LOG!B:B,"MID",MATCH_LOG!G:G,"승")/COUNTIFS(MATCH_LOG!A:A,A23,MATCH_LOG!B:B,"MID"),0)</x:f>
        <x:v>0</x:v>
      </x:c>
      <x:c r="J23" s="42">
        <x:f>IFERROR(COUNTIFS(MATCH_LOG!A:A,A23,MATCH_LOG!B:B,"ADC",MATCH_LOG!G:G,"승")/COUNTIFS(MATCH_LOG!A:A,A23,MATCH_LOG!B:B,"ADC"),0)</x:f>
        <x:v>0</x:v>
      </x:c>
      <x:c r="K23" s="42">
        <x:f>IFERROR(COUNTIFS(MATCH_LOG!A:A,A23,MATCH_LOG!B:B,"SUP",MATCH_LOG!G:G,"승")/COUNTIFS(MATCH_LOG!A:A,A23,MATCH_LOG!B:B,"SUP"),0)</x:f>
        <x:v>0.75</x:v>
      </x:c>
      <x:c r="L23" s="43" t="s">
        <x:v>79</x:v>
      </x:c>
      <x:c r="M23" s="61">
        <x:v>4</x:v>
      </x:c>
      <x:c r="N23" s="43" t="s">
        <x:v>82</x:v>
      </x:c>
      <x:c r="O23" s="61">
        <x:v>1</x:v>
      </x:c>
      <x:c r="P23" s="45" t="s">
        <x:v>81</x:v>
      </x:c>
      <x:c r="Q23" s="61">
        <x:v>1</x:v>
      </x:c>
      <x:c r="R23" s="47">
        <x:f>SUMIFS(MATCH_LOG!D:D,MATCH_LOG!A:A,A23)</x:f>
        <x:v>53</x:v>
      </x:c>
      <x:c r="S23" s="48">
        <x:f>SUMIFS(MATCH_LOG!E:E,MATCH_LOG!A:A,A23)</x:f>
        <x:v>74</x:v>
      </x:c>
      <x:c r="T23" s="49">
        <x:f>SUMIFS(MATCH_LOG!F:F,MATCH_LOG!A:A,A23)</x:f>
        <x:v>107</x:v>
      </x:c>
    </x:row>
    <x:row r="24" spans="1:20">
      <x:c r="A24" s="32" t="s">
        <x:v>76</x:v>
      </x:c>
      <x:c r="B24" s="9">
        <x:f>COUNTIF(MATCH_LOG!A:A,A24)</x:f>
        <x:v>34</x:v>
      </x:c>
      <x:c r="C24" s="9">
        <x:f>COUNTIFS(MATCH_LOG!A:A,A24,MATCH_LOG!G:G,"승")</x:f>
        <x:v>17</x:v>
      </x:c>
      <x:c r="D24" s="9">
        <x:f>COUNTIFS(MATCH_LOG!A:A,A24,MATCH_LOG!G:G,"패")</x:f>
        <x:v>17</x:v>
      </x:c>
      <x:c r="E24" s="30">
        <x:f>IF(B24=0,0,C24/B24)</x:f>
        <x:v>0.5</x:v>
      </x:c>
      <x:c r="F24" s="29">
        <x:f>IFERROR((SUMIFS(MATCH_LOG!D:D,MATCH_LOG!A:A,A24)+SUMIFS(MATCH_LOG!F:F,MATCH_LOG!A:A,A24))/SUMIFS(MATCH_LOG!E:E,MATCH_LOG!A:A,A24),0)</x:f>
        <x:v>1.5826446280991735</x:v>
      </x:c>
      <x:c r="G24" s="42">
        <x:f>IFERROR(COUNTIFS(MATCH_LOG!A:A,A24,MATCH_LOG!B:B,"TOP",MATCH_LOG!G:G,"승")/COUNTIFS(MATCH_LOG!A:A,A24,MATCH_LOG!B:B,"TOP"),0)</x:f>
        <x:v>0.5</x:v>
      </x:c>
      <x:c r="H24" s="42">
        <x:f>IFERROR(COUNTIFS(MATCH_LOG!A:A,A24,MATCH_LOG!B:B,"JG",MATCH_LOG!G:G,"승")/COUNTIFS(MATCH_LOG!A:A,A24,MATCH_LOG!B:B,"JG"),0)</x:f>
        <x:v>0</x:v>
      </x:c>
      <x:c r="I24" s="42">
        <x:f>IFERROR(COUNTIFS(MATCH_LOG!A:A,A24,MATCH_LOG!B:B,"MID",MATCH_LOG!G:G,"승")/COUNTIFS(MATCH_LOG!A:A,A24,MATCH_LOG!B:B,"MID"),0)</x:f>
        <x:v>0</x:v>
      </x:c>
      <x:c r="J24" s="42">
        <x:f>IFERROR(COUNTIFS(MATCH_LOG!A:A,A24,MATCH_LOG!B:B,"ADC",MATCH_LOG!G:G,"승")/COUNTIFS(MATCH_LOG!A:A,A24,MATCH_LOG!B:B,"ADC"),0)</x:f>
        <x:v>0.75</x:v>
      </x:c>
      <x:c r="K24" s="42">
        <x:f>IFERROR(COUNTIFS(MATCH_LOG!A:A,A24,MATCH_LOG!B:B,"SUP",MATCH_LOG!G:G,"승")/COUNTIFS(MATCH_LOG!A:A,A24,MATCH_LOG!B:B,"SUP"),0)</x:f>
        <x:v>0</x:v>
      </x:c>
      <x:c r="L24" s="43" t="s">
        <x:v>79</x:v>
      </x:c>
      <x:c r="M24" s="61">
        <x:v>8</x:v>
      </x:c>
      <x:c r="N24" s="43" t="s">
        <x:v>65</x:v>
      </x:c>
      <x:c r="O24" s="61">
        <x:v>4</x:v>
      </x:c>
      <x:c r="P24" s="45" t="s">
        <x:v>140</x:v>
      </x:c>
      <x:c r="Q24" s="61">
        <x:v>3</x:v>
      </x:c>
      <x:c r="R24" s="47">
        <x:f>SUMIFS(MATCH_LOG!D:D,MATCH_LOG!A:A,A24)</x:f>
        <x:v>153</x:v>
      </x:c>
      <x:c r="S24" s="48">
        <x:f>SUMIFS(MATCH_LOG!E:E,MATCH_LOG!A:A,A24)</x:f>
        <x:v>242</x:v>
      </x:c>
      <x:c r="T24" s="49">
        <x:f>SUMIFS(MATCH_LOG!F:F,MATCH_LOG!A:A,A24)</x:f>
        <x:v>230</x:v>
      </x:c>
    </x:row>
    <x:row r="25" spans="1:20">
      <x:c r="A25" s="32" t="s">
        <x:v>48</x:v>
      </x:c>
      <x:c r="B25" s="9">
        <x:f>COUNTIF(MATCH_LOG!A:A,A25)</x:f>
        <x:v>4</x:v>
      </x:c>
      <x:c r="C25" s="9">
        <x:f>COUNTIFS(MATCH_LOG!A:A,A25,MATCH_LOG!G:G,"승")</x:f>
        <x:v>1</x:v>
      </x:c>
      <x:c r="D25" s="9">
        <x:f>COUNTIFS(MATCH_LOG!A:A,A25,MATCH_LOG!G:G,"패")</x:f>
        <x:v>3</x:v>
      </x:c>
      <x:c r="E25" s="30">
        <x:f>IF(B25=0,0,C25/B25)</x:f>
        <x:v>0.25</x:v>
      </x:c>
      <x:c r="F25" s="29">
        <x:f>IFERROR((SUMIFS(MATCH_LOG!D:D,MATCH_LOG!A:A,A25)+SUMIFS(MATCH_LOG!F:F,MATCH_LOG!A:A,A25))/SUMIFS(MATCH_LOG!E:E,MATCH_LOG!A:A,A25),0)</x:f>
        <x:v>2</x:v>
      </x:c>
      <x:c r="G25" s="42">
        <x:f>IFERROR(COUNTIFS(MATCH_LOG!A:A,A25,MATCH_LOG!B:B,"TOP",MATCH_LOG!G:G,"승")/COUNTIFS(MATCH_LOG!A:A,A25,MATCH_LOG!B:B,"TOP"),0)</x:f>
        <x:v>0</x:v>
      </x:c>
      <x:c r="H25" s="42">
        <x:f>IFERROR(COUNTIFS(MATCH_LOG!A:A,A25,MATCH_LOG!B:B,"JG",MATCH_LOG!G:G,"승")/COUNTIFS(MATCH_LOG!A:A,A25,MATCH_LOG!B:B,"JG"),0)</x:f>
        <x:v>0</x:v>
      </x:c>
      <x:c r="I25" s="42">
        <x:f>IFERROR(COUNTIFS(MATCH_LOG!A:A,A25,MATCH_LOG!B:B,"MID",MATCH_LOG!G:G,"승")/COUNTIFS(MATCH_LOG!A:A,A25,MATCH_LOG!B:B,"MID"),0)</x:f>
        <x:v>1</x:v>
      </x:c>
      <x:c r="J25" s="42">
        <x:f>IFERROR(COUNTIFS(MATCH_LOG!A:A,A25,MATCH_LOG!B:B,"ADC",MATCH_LOG!G:G,"승")/COUNTIFS(MATCH_LOG!A:A,A25,MATCH_LOG!B:B,"ADC"),0)</x:f>
        <x:v>0</x:v>
      </x:c>
      <x:c r="K25" s="42">
        <x:f>IFERROR(COUNTIFS(MATCH_LOG!A:A,A25,MATCH_LOG!B:B,"SUP",MATCH_LOG!G:G,"승")/COUNTIFS(MATCH_LOG!A:A,A25,MATCH_LOG!B:B,"SUP"),0)</x:f>
        <x:v>0</x:v>
      </x:c>
      <x:c r="L25" s="43" t="s">
        <x:v>97</x:v>
      </x:c>
      <x:c r="M25" s="61">
        <x:v>1</x:v>
      </x:c>
      <x:c r="N25" s="43" t="s">
        <x:v>38</x:v>
      </x:c>
      <x:c r="O25" s="61">
        <x:v>1</x:v>
      </x:c>
      <x:c r="P25" s="45" t="s">
        <x:v>179</x:v>
      </x:c>
      <x:c r="Q25" s="61">
        <x:v>1</x:v>
      </x:c>
      <x:c r="R25" s="47">
        <x:f>SUMIFS(MATCH_LOG!D:D,MATCH_LOG!A:A,A25)</x:f>
        <x:v>19</x:v>
      </x:c>
      <x:c r="S25" s="48">
        <x:f>SUMIFS(MATCH_LOG!E:E,MATCH_LOG!A:A,A25)</x:f>
        <x:v>22</x:v>
      </x:c>
      <x:c r="T25" s="49">
        <x:f>SUMIFS(MATCH_LOG!F:F,MATCH_LOG!A:A,A25)</x:f>
        <x:v>25</x:v>
      </x:c>
    </x:row>
    <x:row r="26" spans="1:20">
      <x:c r="A26" s="32" t="s">
        <x:v>60</x:v>
      </x:c>
      <x:c r="B26" s="9">
        <x:f>COUNTIF(MATCH_LOG!A:A,A26)</x:f>
        <x:v>26</x:v>
      </x:c>
      <x:c r="C26" s="9">
        <x:f>COUNTIFS(MATCH_LOG!A:A,A26,MATCH_LOG!G:G,"승")</x:f>
        <x:v>16</x:v>
      </x:c>
      <x:c r="D26" s="9">
        <x:f>COUNTIFS(MATCH_LOG!A:A,A26,MATCH_LOG!G:G,"패")</x:f>
        <x:v>10</x:v>
      </x:c>
      <x:c r="E26" s="30">
        <x:f>IF(B26=0,0,C26/B26)</x:f>
        <x:v>0.61538461538461542</x:v>
      </x:c>
      <x:c r="F26" s="29">
        <x:f>IFERROR((SUMIFS(MATCH_LOG!D:D,MATCH_LOG!A:A,A26)+SUMIFS(MATCH_LOG!F:F,MATCH_LOG!A:A,A26))/SUMIFS(MATCH_LOG!E:E,MATCH_LOG!A:A,A26),0)</x:f>
        <x:v>2.5953757225433525</x:v>
      </x:c>
      <x:c r="G26" s="42">
        <x:f>IFERROR(COUNTIFS(MATCH_LOG!A:A,A26,MATCH_LOG!B:B,"TOP",MATCH_LOG!G:G,"승")/COUNTIFS(MATCH_LOG!A:A,A26,MATCH_LOG!B:B,"TOP"),0)</x:f>
        <x:v>0.5</x:v>
      </x:c>
      <x:c r="H26" s="42">
        <x:f>IFERROR(COUNTIFS(MATCH_LOG!A:A,A26,MATCH_LOG!B:B,"JG",MATCH_LOG!G:G,"승")/COUNTIFS(MATCH_LOG!A:A,A26,MATCH_LOG!B:B,"JG"),0)</x:f>
        <x:v>0.72727272727272729</x:v>
      </x:c>
      <x:c r="I26" s="42">
        <x:f>IFERROR(COUNTIFS(MATCH_LOG!A:A,A26,MATCH_LOG!B:B,"MID",MATCH_LOG!G:G,"승")/COUNTIFS(MATCH_LOG!A:A,A26,MATCH_LOG!B:B,"MID"),0)</x:f>
        <x:v>0.5</x:v>
      </x:c>
      <x:c r="J26" s="42">
        <x:f>IFERROR(COUNTIFS(MATCH_LOG!A:A,A26,MATCH_LOG!B:B,"ADC",MATCH_LOG!G:G,"승")/COUNTIFS(MATCH_LOG!A:A,A26,MATCH_LOG!B:B,"ADC"),0)</x:f>
        <x:v>0</x:v>
      </x:c>
      <x:c r="K26" s="42">
        <x:f>IFERROR(COUNTIFS(MATCH_LOG!A:A,A26,MATCH_LOG!B:B,"SUP",MATCH_LOG!G:G,"승")/COUNTIFS(MATCH_LOG!A:A,A26,MATCH_LOG!B:B,"SUP"),0)</x:f>
        <x:v>1</x:v>
      </x:c>
      <x:c r="L26" s="43" t="s">
        <x:v>97</x:v>
      </x:c>
      <x:c r="M26" s="61">
        <x:v>5</x:v>
      </x:c>
      <x:c r="N26" s="43" t="s">
        <x:v>88</x:v>
      </x:c>
      <x:c r="O26" s="61">
        <x:v>5</x:v>
      </x:c>
      <x:c r="P26" s="45" t="s">
        <x:v>170</x:v>
      </x:c>
      <x:c r="Q26" s="61">
        <x:v>2</x:v>
      </x:c>
      <x:c r="R26" s="47">
        <x:f>SUMIFS(MATCH_LOG!D:D,MATCH_LOG!A:A,A26)</x:f>
        <x:v>181</x:v>
      </x:c>
      <x:c r="S26" s="48">
        <x:f>SUMIFS(MATCH_LOG!E:E,MATCH_LOG!A:A,A26)</x:f>
        <x:v>173</x:v>
      </x:c>
      <x:c r="T26" s="49">
        <x:f>SUMIFS(MATCH_LOG!F:F,MATCH_LOG!A:A,A26)</x:f>
        <x:v>268</x:v>
      </x:c>
    </x:row>
    <x:row r="27" spans="1:20">
      <x:c r="A27" s="32" t="s">
        <x:v>105</x:v>
      </x:c>
      <x:c r="B27" s="9">
        <x:f>COUNTIF(MATCH_LOG!A:A,A27)</x:f>
        <x:v>12</x:v>
      </x:c>
      <x:c r="C27" s="9">
        <x:f>COUNTIFS(MATCH_LOG!A:A,A27,MATCH_LOG!G:G,"승")</x:f>
        <x:v>6</x:v>
      </x:c>
      <x:c r="D27" s="9">
        <x:f>COUNTIFS(MATCH_LOG!A:A,A27,MATCH_LOG!G:G,"패")</x:f>
        <x:v>6</x:v>
      </x:c>
      <x:c r="E27" s="30">
        <x:f>IF(B27=0,0,C27/B27)</x:f>
        <x:v>0.5</x:v>
      </x:c>
      <x:c r="F27" s="29">
        <x:f>IFERROR((SUMIFS(MATCH_LOG!D:D,MATCH_LOG!A:A,A27)+SUMIFS(MATCH_LOG!F:F,MATCH_LOG!A:A,A27))/SUMIFS(MATCH_LOG!E:E,MATCH_LOG!A:A,A27),0)</x:f>
        <x:v>2.2272727272727271</x:v>
      </x:c>
      <x:c r="G27" s="42">
        <x:f>IFERROR(COUNTIFS(MATCH_LOG!A:A,A27,MATCH_LOG!B:B,"TOP",MATCH_LOG!G:G,"승")/COUNTIFS(MATCH_LOG!A:A,A27,MATCH_LOG!B:B,"TOP"),0)</x:f>
        <x:v>0</x:v>
      </x:c>
      <x:c r="H27" s="42">
        <x:f>IFERROR(COUNTIFS(MATCH_LOG!A:A,A27,MATCH_LOG!B:B,"JG",MATCH_LOG!G:G,"승")/COUNTIFS(MATCH_LOG!A:A,A27,MATCH_LOG!B:B,"JG"),0)</x:f>
        <x:v>0.66666666666666663</x:v>
      </x:c>
      <x:c r="I27" s="42">
        <x:f>IFERROR(COUNTIFS(MATCH_LOG!A:A,A27,MATCH_LOG!B:B,"MID",MATCH_LOG!G:G,"승")/COUNTIFS(MATCH_LOG!A:A,A27,MATCH_LOG!B:B,"MID"),0)</x:f>
        <x:v>1</x:v>
      </x:c>
      <x:c r="J27" s="42">
        <x:f>IFERROR(COUNTIFS(MATCH_LOG!A:A,A27,MATCH_LOG!B:B,"ADC",MATCH_LOG!G:G,"승")/COUNTIFS(MATCH_LOG!A:A,A27,MATCH_LOG!B:B,"ADC"),0)</x:f>
        <x:v>0</x:v>
      </x:c>
      <x:c r="K27" s="42">
        <x:f>IFERROR(COUNTIFS(MATCH_LOG!A:A,A27,MATCH_LOG!B:B,"SUP",MATCH_LOG!G:G,"승")/COUNTIFS(MATCH_LOG!A:A,A27,MATCH_LOG!B:B,"SUP"),0)</x:f>
        <x:v>0.2857142857142857</x:v>
      </x:c>
      <x:c r="L27" s="43" t="s">
        <x:v>160</x:v>
      </x:c>
      <x:c r="M27" s="61">
        <x:v>2</x:v>
      </x:c>
      <x:c r="N27" s="43" t="s">
        <x:v>157</x:v>
      </x:c>
      <x:c r="O27" s="61">
        <x:v>2</x:v>
      </x:c>
      <x:c r="P27" s="45" t="s">
        <x:v>184</x:v>
      </x:c>
      <x:c r="Q27" s="61">
        <x:v>2</x:v>
      </x:c>
      <x:c r="R27" s="47">
        <x:f>SUMIFS(MATCH_LOG!D:D,MATCH_LOG!A:A,A27)</x:f>
        <x:v>22</x:v>
      </x:c>
      <x:c r="S27" s="48">
        <x:f>SUMIFS(MATCH_LOG!E:E,MATCH_LOG!A:A,A27)</x:f>
        <x:v>66</x:v>
      </x:c>
      <x:c r="T27" s="49">
        <x:f>SUMIFS(MATCH_LOG!F:F,MATCH_LOG!A:A,A27)</x:f>
        <x:v>125</x:v>
      </x:c>
    </x:row>
    <x:row r="28" spans="1:20">
      <x:c r="A28" s="32" t="s">
        <x:v>118</x:v>
      </x:c>
      <x:c r="B28" s="9">
        <x:f>COUNTIF(MATCH_LOG!A:A,A28)</x:f>
        <x:v>6</x:v>
      </x:c>
      <x:c r="C28" s="9">
        <x:f>COUNTIFS(MATCH_LOG!A:A,A28,MATCH_LOG!G:G,"승")</x:f>
        <x:v>1</x:v>
      </x:c>
      <x:c r="D28" s="9">
        <x:f>COUNTIFS(MATCH_LOG!A:A,A28,MATCH_LOG!G:G,"패")</x:f>
        <x:v>5</x:v>
      </x:c>
      <x:c r="E28" s="30">
        <x:f>IF(B28=0,0,C28/B28)</x:f>
        <x:v>0.16666666666666666</x:v>
      </x:c>
      <x:c r="F28" s="29">
        <x:f>IFERROR((SUMIFS(MATCH_LOG!D:D,MATCH_LOG!A:A,A28)+SUMIFS(MATCH_LOG!F:F,MATCH_LOG!A:A,A28))/SUMIFS(MATCH_LOG!E:E,MATCH_LOG!A:A,A28),0)</x:f>
        <x:v>1.4571428571428571</x:v>
      </x:c>
      <x:c r="G28" s="42">
        <x:f>IFERROR(COUNTIFS(MATCH_LOG!A:A,A28,MATCH_LOG!B:B,"TOP",MATCH_LOG!G:G,"승")/COUNTIFS(MATCH_LOG!A:A,A28,MATCH_LOG!B:B,"TOP"),0)</x:f>
        <x:v>0</x:v>
      </x:c>
      <x:c r="H28" s="42">
        <x:f>IFERROR(COUNTIFS(MATCH_LOG!A:A,A28,MATCH_LOG!B:B,"JG",MATCH_LOG!G:G,"승")/COUNTIFS(MATCH_LOG!A:A,A28,MATCH_LOG!B:B,"JG"),0)</x:f>
        <x:v>0</x:v>
      </x:c>
      <x:c r="I28" s="42">
        <x:f>IFERROR(COUNTIFS(MATCH_LOG!A:A,A28,MATCH_LOG!B:B,"MID",MATCH_LOG!G:G,"승")/COUNTIFS(MATCH_LOG!A:A,A28,MATCH_LOG!B:B,"MID"),0)</x:f>
        <x:v>0</x:v>
      </x:c>
      <x:c r="J28" s="42">
        <x:f>IFERROR(COUNTIFS(MATCH_LOG!A:A,A28,MATCH_LOG!B:B,"ADC",MATCH_LOG!G:G,"승")/COUNTIFS(MATCH_LOG!A:A,A28,MATCH_LOG!B:B,"ADC"),0)</x:f>
        <x:v>0</x:v>
      </x:c>
      <x:c r="K28" s="42">
        <x:f>IFERROR(COUNTIFS(MATCH_LOG!A:A,A28,MATCH_LOG!B:B,"SUP",MATCH_LOG!G:G,"승")/COUNTIFS(MATCH_LOG!A:A,A28,MATCH_LOG!B:B,"SUP"),0)</x:f>
        <x:v>0.20000000000000001</x:v>
      </x:c>
      <x:c r="L28" s="43" t="s">
        <x:v>127</x:v>
      </x:c>
      <x:c r="M28" s="61">
        <x:v>1</x:v>
      </x:c>
      <x:c r="N28" s="43" t="s">
        <x:v>101</x:v>
      </x:c>
      <x:c r="O28" s="61">
        <x:v>1</x:v>
      </x:c>
      <x:c r="P28" s="45" t="s">
        <x:v>135</x:v>
      </x:c>
      <x:c r="Q28" s="61">
        <x:v>1</x:v>
      </x:c>
      <x:c r="R28" s="47">
        <x:f>SUMIFS(MATCH_LOG!D:D,MATCH_LOG!A:A,A28)</x:f>
        <x:v>7</x:v>
      </x:c>
      <x:c r="S28" s="48">
        <x:f>SUMIFS(MATCH_LOG!E:E,MATCH_LOG!A:A,A28)</x:f>
        <x:v>35</x:v>
      </x:c>
      <x:c r="T28" s="49">
        <x:f>SUMIFS(MATCH_LOG!F:F,MATCH_LOG!A:A,A28)</x:f>
        <x:v>44</x:v>
      </x:c>
    </x:row>
    <x:row r="29" spans="1:20">
      <x:c r="A29" s="32" t="s">
        <x:v>151</x:v>
      </x:c>
      <x:c r="B29" s="9">
        <x:f>COUNTIF(MATCH_LOG!A:A,A29)</x:f>
        <x:v>3</x:v>
      </x:c>
      <x:c r="C29" s="9">
        <x:f>COUNTIFS(MATCH_LOG!A:A,A29,MATCH_LOG!G:G,"승")</x:f>
        <x:v>1</x:v>
      </x:c>
      <x:c r="D29" s="9">
        <x:f>COUNTIFS(MATCH_LOG!A:A,A29,MATCH_LOG!G:G,"패")</x:f>
        <x:v>2</x:v>
      </x:c>
      <x:c r="E29" s="30">
        <x:f>IF(B29=0,0,C29/B29)</x:f>
        <x:v>0.33333333333333331</x:v>
      </x:c>
      <x:c r="F29" s="29">
        <x:f>IFERROR((SUMIFS(MATCH_LOG!D:D,MATCH_LOG!A:A,A29)+SUMIFS(MATCH_LOG!F:F,MATCH_LOG!A:A,A29))/SUMIFS(MATCH_LOG!E:E,MATCH_LOG!A:A,A29),0)</x:f>
        <x:v>1.4074074074074074</x:v>
      </x:c>
      <x:c r="G29" s="42">
        <x:f>IFERROR(COUNTIFS(MATCH_LOG!A:A,A29,MATCH_LOG!B:B,"TOP",MATCH_LOG!G:G,"승")/COUNTIFS(MATCH_LOG!A:A,A29,MATCH_LOG!B:B,"TOP"),0)</x:f>
        <x:v>0.33333333333333331</x:v>
      </x:c>
      <x:c r="H29" s="42">
        <x:f>IFERROR(COUNTIFS(MATCH_LOG!A:A,A29,MATCH_LOG!B:B,"JG",MATCH_LOG!G:G,"승")/COUNTIFS(MATCH_LOG!A:A,A29,MATCH_LOG!B:B,"JG"),0)</x:f>
        <x:v>0</x:v>
      </x:c>
      <x:c r="I29" s="42">
        <x:f>IFERROR(COUNTIFS(MATCH_LOG!A:A,A29,MATCH_LOG!B:B,"MID",MATCH_LOG!G:G,"승")/COUNTIFS(MATCH_LOG!A:A,A29,MATCH_LOG!B:B,"MID"),0)</x:f>
        <x:v>0</x:v>
      </x:c>
      <x:c r="J29" s="42">
        <x:f>IFERROR(COUNTIFS(MATCH_LOG!A:A,A29,MATCH_LOG!B:B,"ADC",MATCH_LOG!G:G,"승")/COUNTIFS(MATCH_LOG!A:A,A29,MATCH_LOG!B:B,"ADC"),0)</x:f>
        <x:v>0</x:v>
      </x:c>
      <x:c r="K29" s="42">
        <x:f>IFERROR(COUNTIFS(MATCH_LOG!A:A,A29,MATCH_LOG!B:B,"SUP",MATCH_LOG!G:G,"승")/COUNTIFS(MATCH_LOG!A:A,A29,MATCH_LOG!B:B,"SUP"),0)</x:f>
        <x:v>0</x:v>
      </x:c>
      <x:c r="L29" s="43" t="s">
        <x:v>81</x:v>
      </x:c>
      <x:c r="M29" s="61">
        <x:v>1</x:v>
      </x:c>
      <x:c r="N29" s="43" t="s">
        <x:v>190</x:v>
      </x:c>
      <x:c r="O29" s="61">
        <x:v>1</x:v>
      </x:c>
      <x:c r="P29" s="45" t="s">
        <x:v>177</x:v>
      </x:c>
      <x:c r="Q29" s="61">
        <x:v>1</x:v>
      </x:c>
      <x:c r="R29" s="47">
        <x:f>SUMIFS(MATCH_LOG!D:D,MATCH_LOG!A:A,A29)</x:f>
        <x:v>13</x:v>
      </x:c>
      <x:c r="S29" s="48">
        <x:f>SUMIFS(MATCH_LOG!E:E,MATCH_LOG!A:A,A29)</x:f>
        <x:v>27</x:v>
      </x:c>
      <x:c r="T29" s="49">
        <x:f>SUMIFS(MATCH_LOG!F:F,MATCH_LOG!A:A,A29)</x:f>
        <x:v>25</x:v>
      </x:c>
    </x:row>
    <x:row r="30" spans="1:20">
      <x:c r="A30" s="32" t="s">
        <x:v>4</x:v>
      </x:c>
      <x:c r="B30" s="9">
        <x:f>COUNTIF(MATCH_LOG!A:A,A30)</x:f>
        <x:v>2</x:v>
      </x:c>
      <x:c r="C30" s="9">
        <x:f>COUNTIFS(MATCH_LOG!A:A,A30,MATCH_LOG!G:G,"승")</x:f>
        <x:v>2</x:v>
      </x:c>
      <x:c r="D30" s="9">
        <x:f>COUNTIFS(MATCH_LOG!A:A,A30,MATCH_LOG!G:G,"패")</x:f>
        <x:v>0</x:v>
      </x:c>
      <x:c r="E30" s="30">
        <x:f>IF(B30=0,0,C30/B30)</x:f>
        <x:v>1</x:v>
      </x:c>
      <x:c r="F30" s="29">
        <x:f>IFERROR((SUMIFS(MATCH_LOG!D:D,MATCH_LOG!A:A,A30)+SUMIFS(MATCH_LOG!F:F,MATCH_LOG!A:A,A30))/SUMIFS(MATCH_LOG!E:E,MATCH_LOG!A:A,A30),0)</x:f>
        <x:v>1.5</x:v>
      </x:c>
      <x:c r="G30" s="42">
        <x:f>IFERROR(COUNTIFS(MATCH_LOG!A:A,A30,MATCH_LOG!B:B,"TOP",MATCH_LOG!G:G,"승")/COUNTIFS(MATCH_LOG!A:A,A30,MATCH_LOG!B:B,"TOP"),0)</x:f>
        <x:v>1</x:v>
      </x:c>
      <x:c r="H30" s="42">
        <x:f>IFERROR(COUNTIFS(MATCH_LOG!A:A,A30,MATCH_LOG!B:B,"JG",MATCH_LOG!G:G,"승")/COUNTIFS(MATCH_LOG!A:A,A30,MATCH_LOG!B:B,"JG"),0)</x:f>
        <x:v>0</x:v>
      </x:c>
      <x:c r="I30" s="42">
        <x:f>IFERROR(COUNTIFS(MATCH_LOG!A:A,A30,MATCH_LOG!B:B,"MID",MATCH_LOG!G:G,"승")/COUNTIFS(MATCH_LOG!A:A,A30,MATCH_LOG!B:B,"MID"),0)</x:f>
        <x:v>1</x:v>
      </x:c>
      <x:c r="J30" s="42">
        <x:f>IFERROR(COUNTIFS(MATCH_LOG!A:A,A30,MATCH_LOG!B:B,"ADC",MATCH_LOG!G:G,"승")/COUNTIFS(MATCH_LOG!A:A,A30,MATCH_LOG!B:B,"ADC"),0)</x:f>
        <x:v>0</x:v>
      </x:c>
      <x:c r="K30" s="42">
        <x:f>IFERROR(COUNTIFS(MATCH_LOG!A:A,A30,MATCH_LOG!B:B,"SUP",MATCH_LOG!G:G,"승")/COUNTIFS(MATCH_LOG!A:A,A30,MATCH_LOG!B:B,"SUP"),0)</x:f>
        <x:v>0</x:v>
      </x:c>
      <x:c r="L30" s="43" t="s">
        <x:v>64</x:v>
      </x:c>
      <x:c r="M30" s="61">
        <x:v>1</x:v>
      </x:c>
      <x:c r="N30" s="43" t="s">
        <x:v>7</x:v>
      </x:c>
      <x:c r="O30" s="61">
        <x:v>1</x:v>
      </x:c>
      <x:c r="P30" s="45" t="s">
        <x:v>148</x:v>
      </x:c>
      <x:c r="Q30" s="61" t="s">
        <x:v>148</x:v>
      </x:c>
      <x:c r="R30" s="47">
        <x:f>SUMIFS(MATCH_LOG!D:D,MATCH_LOG!A:A,A30)</x:f>
        <x:v>5</x:v>
      </x:c>
      <x:c r="S30" s="48">
        <x:f>SUMIFS(MATCH_LOG!E:E,MATCH_LOG!A:A,A30)</x:f>
        <x:v>6</x:v>
      </x:c>
      <x:c r="T30" s="49">
        <x:f>SUMIFS(MATCH_LOG!F:F,MATCH_LOG!A:A,A30)</x:f>
        <x:v>4</x:v>
      </x:c>
    </x:row>
    <x:row r="31" spans="1:20">
      <x:c r="A31" s="34" t="s">
        <x:v>70</x:v>
      </x:c>
      <x:c r="B31" s="9">
        <x:f>COUNTIF(MATCH_LOG!A:A,A31)</x:f>
        <x:v>30</x:v>
      </x:c>
      <x:c r="C31" s="9">
        <x:f>COUNTIFS(MATCH_LOG!A:A,A31,MATCH_LOG!G:G,"승")</x:f>
        <x:v>16</x:v>
      </x:c>
      <x:c r="D31" s="9">
        <x:f>COUNTIFS(MATCH_LOG!A:A,A31,MATCH_LOG!G:G,"패")</x:f>
        <x:v>14</x:v>
      </x:c>
      <x:c r="E31" s="30">
        <x:f t="shared" ref="E31:E33" si="2">IF(B31=0,0,C31/B31)</x:f>
        <x:v>0.53333333333333333</x:v>
      </x:c>
      <x:c r="F31" s="29">
        <x:f>IFERROR((SUMIFS(MATCH_LOG!D:D,MATCH_LOG!A:A,A31)+SUMIFS(MATCH_LOG!F:F,MATCH_LOG!A:A,A31))/SUMIFS(MATCH_LOG!E:E,MATCH_LOG!A:A,A31),0)</x:f>
        <x:v>2.9770992366412212</x:v>
      </x:c>
      <x:c r="G31" s="42">
        <x:f>IFERROR(COUNTIFS(MATCH_LOG!A:A,A31,MATCH_LOG!B:B,"TOP",MATCH_LOG!G:G,"승")/COUNTIFS(MATCH_LOG!A:A,A31,MATCH_LOG!B:B,"TOP"),0)</x:f>
        <x:v>0</x:v>
      </x:c>
      <x:c r="H31" s="42">
        <x:f>IFERROR(COUNTIFS(MATCH_LOG!A:A,A31,MATCH_LOG!B:B,"JG",MATCH_LOG!G:G,"승")/COUNTIFS(MATCH_LOG!A:A,A31,MATCH_LOG!B:B,"JG"),0)</x:f>
        <x:v>0</x:v>
      </x:c>
      <x:c r="I31" s="42">
        <x:f>IFERROR(COUNTIFS(MATCH_LOG!A:A,A31,MATCH_LOG!B:B,"MID",MATCH_LOG!G:G,"승")/COUNTIFS(MATCH_LOG!A:A,A31,MATCH_LOG!B:B,"MID"),0)</x:f>
        <x:v>0</x:v>
      </x:c>
      <x:c r="J31" s="42">
        <x:f>IFERROR(COUNTIFS(MATCH_LOG!A:A,A31,MATCH_LOG!B:B,"ADC",MATCH_LOG!G:G,"승")/COUNTIFS(MATCH_LOG!A:A,A31,MATCH_LOG!B:B,"ADC"),0)</x:f>
        <x:v>0.61111111111111116</x:v>
      </x:c>
      <x:c r="K31" s="42">
        <x:f>IFERROR(COUNTIFS(MATCH_LOG!A:A,A31,MATCH_LOG!B:B,"SUP",MATCH_LOG!G:G,"승")/COUNTIFS(MATCH_LOG!A:A,A31,MATCH_LOG!B:B,"SUP"),0)</x:f>
        <x:v>0.5</x:v>
      </x:c>
      <x:c r="L31" s="43" t="s">
        <x:v>111</x:v>
      </x:c>
      <x:c r="M31" s="61">
        <x:v>5</x:v>
      </x:c>
      <x:c r="N31" s="43" t="s">
        <x:v>159</x:v>
      </x:c>
      <x:c r="O31" s="61">
        <x:v>5</x:v>
      </x:c>
      <x:c r="P31" s="45" t="s">
        <x:v>69</x:v>
      </x:c>
      <x:c r="Q31" s="61">
        <x:v>3</x:v>
      </x:c>
      <x:c r="R31" s="47">
        <x:f>SUMIFS(MATCH_LOG!D:D,MATCH_LOG!A:A,A31)</x:f>
        <x:v>110</x:v>
      </x:c>
      <x:c r="S31" s="48">
        <x:f>SUMIFS(MATCH_LOG!E:E,MATCH_LOG!A:A,A31)</x:f>
        <x:v>131</x:v>
      </x:c>
      <x:c r="T31" s="49">
        <x:f>SUMIFS(MATCH_LOG!F:F,MATCH_LOG!A:A,A31)</x:f>
        <x:v>280</x:v>
      </x:c>
    </x:row>
    <x:row r="32" spans="1:20">
      <x:c r="A32" s="34" t="s">
        <x:v>57</x:v>
      </x:c>
      <x:c r="B32" s="9">
        <x:f>COUNTIF(MATCH_LOG!A:A,A32)</x:f>
        <x:v>27</x:v>
      </x:c>
      <x:c r="C32" s="9">
        <x:f>COUNTIFS(MATCH_LOG!A:A,A32,MATCH_LOG!G:G,"승")</x:f>
        <x:v>9</x:v>
      </x:c>
      <x:c r="D32" s="9">
        <x:f>COUNTIFS(MATCH_LOG!A:A,A32,MATCH_LOG!G:G,"패")</x:f>
        <x:v>18</x:v>
      </x:c>
      <x:c r="E32" s="30">
        <x:f t="shared" si="2"/>
        <x:v>0.33333333333333331</x:v>
      </x:c>
      <x:c r="F32" s="29">
        <x:f>IFERROR((SUMIFS(MATCH_LOG!D:D,MATCH_LOG!A:A,A32)+SUMIFS(MATCH_LOG!F:F,MATCH_LOG!A:A,A32))/SUMIFS(MATCH_LOG!E:E,MATCH_LOG!A:A,A32),0)</x:f>
        <x:v>2.132183908045977</x:v>
      </x:c>
      <x:c r="G32" s="42">
        <x:f>IFERROR(COUNTIFS(MATCH_LOG!A:A,A32,MATCH_LOG!B:B,"TOP",MATCH_LOG!G:G,"승")/COUNTIFS(MATCH_LOG!A:A,A32,MATCH_LOG!B:B,"TOP"),0)</x:f>
        <x:v>0</x:v>
      </x:c>
      <x:c r="H32" s="42">
        <x:f>IFERROR(COUNTIFS(MATCH_LOG!A:A,A32,MATCH_LOG!B:B,"JG",MATCH_LOG!G:G,"승")/COUNTIFS(MATCH_LOG!A:A,A32,MATCH_LOG!B:B,"JG"),0)</x:f>
        <x:v>0</x:v>
      </x:c>
      <x:c r="I32" s="42">
        <x:f>IFERROR(COUNTIFS(MATCH_LOG!A:A,A32,MATCH_LOG!B:B,"MID",MATCH_LOG!G:G,"승")/COUNTIFS(MATCH_LOG!A:A,A32,MATCH_LOG!B:B,"MID"),0)</x:f>
        <x:v>0</x:v>
      </x:c>
      <x:c r="J32" s="42">
        <x:f>IFERROR(COUNTIFS(MATCH_LOG!A:A,A32,MATCH_LOG!B:B,"ADC",MATCH_LOG!G:G,"승")/COUNTIFS(MATCH_LOG!A:A,A32,MATCH_LOG!B:B,"ADC"),0)</x:f>
        <x:v>0.33333333333333331</x:v>
      </x:c>
      <x:c r="K32" s="42">
        <x:f>IFERROR(COUNTIFS(MATCH_LOG!A:A,A32,MATCH_LOG!B:B,"SUP",MATCH_LOG!G:G,"승")/COUNTIFS(MATCH_LOG!A:A,A32,MATCH_LOG!B:B,"SUP"),0)</x:f>
        <x:v>0</x:v>
      </x:c>
      <x:c r="L32" s="43" t="s">
        <x:v>96</x:v>
      </x:c>
      <x:c r="M32" s="61">
        <x:v>5</x:v>
      </x:c>
      <x:c r="N32" s="43" t="s">
        <x:v>102</x:v>
      </x:c>
      <x:c r="O32" s="61">
        <x:v>3</x:v>
      </x:c>
      <x:c r="P32" s="45" t="s">
        <x:v>159</x:v>
      </x:c>
      <x:c r="Q32" s="61">
        <x:v>3</x:v>
      </x:c>
      <x:c r="R32" s="47">
        <x:f>SUMIFS(MATCH_LOG!D:D,MATCH_LOG!A:A,A32)</x:f>
        <x:v>180</x:v>
      </x:c>
      <x:c r="S32" s="48">
        <x:f>SUMIFS(MATCH_LOG!E:E,MATCH_LOG!A:A,A32)</x:f>
        <x:v>174</x:v>
      </x:c>
      <x:c r="T32" s="49">
        <x:f>SUMIFS(MATCH_LOG!F:F,MATCH_LOG!A:A,A32)</x:f>
        <x:v>191</x:v>
      </x:c>
    </x:row>
    <x:row r="33" spans="1:20">
      <x:c r="A33" s="34" t="s">
        <x:v>58</x:v>
      </x:c>
      <x:c r="B33" s="9">
        <x:f>COUNTIF(MATCH_LOG!A:A,A33)</x:f>
        <x:v>13</x:v>
      </x:c>
      <x:c r="C33" s="9">
        <x:f>COUNTIFS(MATCH_LOG!A:A,A33,MATCH_LOG!G:G,"승")</x:f>
        <x:v>5</x:v>
      </x:c>
      <x:c r="D33" s="9">
        <x:f>COUNTIFS(MATCH_LOG!A:A,A33,MATCH_LOG!G:G,"패")</x:f>
        <x:v>8</x:v>
      </x:c>
      <x:c r="E33" s="30">
        <x:f t="shared" si="2"/>
        <x:v>0.38461538461538464</x:v>
      </x:c>
      <x:c r="F33" s="29">
        <x:f>IFERROR((SUMIFS(MATCH_LOG!D:D,MATCH_LOG!A:A,A33)+SUMIFS(MATCH_LOG!F:F,MATCH_LOG!A:A,A33))/SUMIFS(MATCH_LOG!E:E,MATCH_LOG!A:A,A33),0)</x:f>
        <x:v>2.1304347826086958</x:v>
      </x:c>
      <x:c r="G33" s="42">
        <x:f>IFERROR(COUNTIFS(MATCH_LOG!A:A,A33,MATCH_LOG!B:B,"TOP",MATCH_LOG!G:G,"승")/COUNTIFS(MATCH_LOG!A:A,A33,MATCH_LOG!B:B,"TOP"),0)</x:f>
        <x:v>0</x:v>
      </x:c>
      <x:c r="H33" s="42">
        <x:f>IFERROR(COUNTIFS(MATCH_LOG!A:A,A33,MATCH_LOG!B:B,"JG",MATCH_LOG!G:G,"승")/COUNTIFS(MATCH_LOG!A:A,A33,MATCH_LOG!B:B,"JG"),0)</x:f>
        <x:v>0</x:v>
      </x:c>
      <x:c r="I33" s="42">
        <x:f>IFERROR(COUNTIFS(MATCH_LOG!A:A,A33,MATCH_LOG!B:B,"MID",MATCH_LOG!G:G,"승")/COUNTIFS(MATCH_LOG!A:A,A33,MATCH_LOG!B:B,"MID"),0)</x:f>
        <x:v>0</x:v>
      </x:c>
      <x:c r="J33" s="42">
        <x:f>IFERROR(COUNTIFS(MATCH_LOG!A:A,A33,MATCH_LOG!B:B,"ADC",MATCH_LOG!G:G,"승")/COUNTIFS(MATCH_LOG!A:A,A33,MATCH_LOG!B:B,"ADC"),0)</x:f>
        <x:v>0</x:v>
      </x:c>
      <x:c r="K33" s="42">
        <x:f>IFERROR(COUNTIFS(MATCH_LOG!A:A,A33,MATCH_LOG!B:B,"SUP",MATCH_LOG!G:G,"승")/COUNTIFS(MATCH_LOG!A:A,A33,MATCH_LOG!B:B,"SUP"),0)</x:f>
        <x:v>0.38461538461538464</x:v>
      </x:c>
      <x:c r="L33" s="43" t="s">
        <x:v>84</x:v>
      </x:c>
      <x:c r="M33" s="61">
        <x:v>5</x:v>
      </x:c>
      <x:c r="N33" s="43" t="s">
        <x:v>145</x:v>
      </x:c>
      <x:c r="O33" s="61">
        <x:v>3</x:v>
      </x:c>
      <x:c r="P33" s="45" t="s">
        <x:v>115</x:v>
      </x:c>
      <x:c r="Q33" s="61">
        <x:v>3</x:v>
      </x:c>
      <x:c r="R33" s="47">
        <x:f>SUMIFS(MATCH_LOG!D:D,MATCH_LOG!A:A,A33)</x:f>
        <x:v>11</x:v>
      </x:c>
      <x:c r="S33" s="48">
        <x:f>SUMIFS(MATCH_LOG!E:E,MATCH_LOG!A:A,A33)</x:f>
        <x:v>69</x:v>
      </x:c>
      <x:c r="T33" s="49">
        <x:f>SUMIFS(MATCH_LOG!F:F,MATCH_LOG!A:A,A33)</x:f>
        <x:v>136</x:v>
      </x:c>
    </x:row>
    <x:row r="34" spans="1:20">
      <x:c r="A34" s="34" t="s">
        <x:v>10</x:v>
      </x:c>
      <x:c r="B34" s="9">
        <x:f>COUNTIF(MATCH_LOG!A:A,A34)</x:f>
        <x:v>2</x:v>
      </x:c>
      <x:c r="C34" s="9">
        <x:f>COUNTIFS(MATCH_LOG!A:A,A34,MATCH_LOG!G:G,"승")</x:f>
        <x:v>1</x:v>
      </x:c>
      <x:c r="D34" s="9">
        <x:f>COUNTIFS(MATCH_LOG!A:A,A34,MATCH_LOG!G:G,"패")</x:f>
        <x:v>1</x:v>
      </x:c>
      <x:c r="E34" s="30">
        <x:f>IF(B34=0,0,C34/B34)</x:f>
        <x:v>0.5</x:v>
      </x:c>
      <x:c r="F34" s="29">
        <x:f>IFERROR((SUMIFS(MATCH_LOG!D:D,MATCH_LOG!A:A,A34)+SUMIFS(MATCH_LOG!F:F,MATCH_LOG!A:A,A34))/SUMIFS(MATCH_LOG!E:E,MATCH_LOG!A:A,A34),0)</x:f>
        <x:v>1.8</x:v>
      </x:c>
      <x:c r="G34" s="42">
        <x:f>IFERROR(COUNTIFS(MATCH_LOG!A:A,A34,MATCH_LOG!B:B,"TOP",MATCH_LOG!G:G,"승")/COUNTIFS(MATCH_LOG!A:A,A34,MATCH_LOG!B:B,"TOP"),0)</x:f>
        <x:v>0</x:v>
      </x:c>
      <x:c r="H34" s="42">
        <x:f>IFERROR(COUNTIFS(MATCH_LOG!A:A,A34,MATCH_LOG!B:B,"JG",MATCH_LOG!G:G,"승")/COUNTIFS(MATCH_LOG!A:A,A34,MATCH_LOG!B:B,"JG"),0)</x:f>
        <x:v>0.5</x:v>
      </x:c>
      <x:c r="I34" s="42">
        <x:f>IFERROR(COUNTIFS(MATCH_LOG!A:A,A34,MATCH_LOG!B:B,"MID",MATCH_LOG!G:G,"승")/COUNTIFS(MATCH_LOG!A:A,A34,MATCH_LOG!B:B,"MID"),0)</x:f>
        <x:v>0</x:v>
      </x:c>
      <x:c r="J34" s="42">
        <x:f>IFERROR(COUNTIFS(MATCH_LOG!A:A,A34,MATCH_LOG!B:B,"ADC",MATCH_LOG!G:G,"승")/COUNTIFS(MATCH_LOG!A:A,A34,MATCH_LOG!B:B,"ADC"),0)</x:f>
        <x:v>0</x:v>
      </x:c>
      <x:c r="K34" s="42">
        <x:f>IFERROR(COUNTIFS(MATCH_LOG!A:A,A34,MATCH_LOG!B:B,"SUP",MATCH_LOG!G:G,"승")/COUNTIFS(MATCH_LOG!A:A,A34,MATCH_LOG!B:B,"SUP"),0)</x:f>
        <x:v>0</x:v>
      </x:c>
      <x:c r="L34" s="43" t="s">
        <x:v>188</x:v>
      </x:c>
      <x:c r="M34" s="61">
        <x:v>1</x:v>
      </x:c>
      <x:c r="N34" s="43" t="s">
        <x:v>41</x:v>
      </x:c>
      <x:c r="O34" s="61">
        <x:v>1</x:v>
      </x:c>
      <x:c r="P34" s="45" t="s">
        <x:v>148</x:v>
      </x:c>
      <x:c r="Q34" s="61" t="s">
        <x:v>148</x:v>
      </x:c>
      <x:c r="R34" s="47">
        <x:f>SUMIFS(MATCH_LOG!D:D,MATCH_LOG!A:A,A34)</x:f>
        <x:v>5</x:v>
      </x:c>
      <x:c r="S34" s="48">
        <x:f>SUMIFS(MATCH_LOG!E:E,MATCH_LOG!A:A,A34)</x:f>
        <x:v>15</x:v>
      </x:c>
      <x:c r="T34" s="49">
        <x:f>SUMIFS(MATCH_LOG!F:F,MATCH_LOG!A:A,A34)</x:f>
        <x:v>22</x:v>
      </x:c>
    </x:row>
    <x:row r="35" spans="1:20">
      <x:c r="A35" s="34" t="s">
        <x:v>29</x:v>
      </x:c>
      <x:c r="B35" s="9">
        <x:f>COUNTIF(MATCH_LOG!A:A,A35)</x:f>
        <x:v>2</x:v>
      </x:c>
      <x:c r="C35" s="9">
        <x:f>COUNTIFS(MATCH_LOG!A:A,A35,MATCH_LOG!G:G,"승")</x:f>
        <x:v>2</x:v>
      </x:c>
      <x:c r="D35" s="9">
        <x:f>COUNTIFS(MATCH_LOG!A:A,A35,MATCH_LOG!G:G,"패")</x:f>
        <x:v>0</x:v>
      </x:c>
      <x:c r="E35" s="30">
        <x:f>IF(B35=0,0,C35/B35)</x:f>
        <x:v>1</x:v>
      </x:c>
      <x:c r="F35" s="29">
        <x:f>IFERROR((SUMIFS(MATCH_LOG!D:D,MATCH_LOG!A:A,A35)+SUMIFS(MATCH_LOG!F:F,MATCH_LOG!A:A,A35))/SUMIFS(MATCH_LOG!E:E,MATCH_LOG!A:A,A35),0)</x:f>
        <x:v>3.5714285714285716</x:v>
      </x:c>
      <x:c r="G35" s="42">
        <x:f>IFERROR(COUNTIFS(MATCH_LOG!A:A,A35,MATCH_LOG!B:B,"TOP",MATCH_LOG!G:G,"승")/COUNTIFS(MATCH_LOG!A:A,A35,MATCH_LOG!B:B,"TOP"),0)</x:f>
        <x:v>0</x:v>
      </x:c>
      <x:c r="H35" s="42">
        <x:f>IFERROR(COUNTIFS(MATCH_LOG!A:A,A35,MATCH_LOG!B:B,"JG",MATCH_LOG!G:G,"승")/COUNTIFS(MATCH_LOG!A:A,A35,MATCH_LOG!B:B,"JG"),0)</x:f>
        <x:v>0</x:v>
      </x:c>
      <x:c r="I35" s="42">
        <x:f>IFERROR(COUNTIFS(MATCH_LOG!A:A,A35,MATCH_LOG!B:B,"MID",MATCH_LOG!G:G,"승")/COUNTIFS(MATCH_LOG!A:A,A35,MATCH_LOG!B:B,"MID"),0)</x:f>
        <x:v>1</x:v>
      </x:c>
      <x:c r="J35" s="42">
        <x:f>IFERROR(COUNTIFS(MATCH_LOG!A:A,A35,MATCH_LOG!B:B,"ADC",MATCH_LOG!G:G,"승")/COUNTIFS(MATCH_LOG!A:A,A35,MATCH_LOG!B:B,"ADC"),0)</x:f>
        <x:v>0</x:v>
      </x:c>
      <x:c r="K35" s="42">
        <x:f>IFERROR(COUNTIFS(MATCH_LOG!A:A,A35,MATCH_LOG!B:B,"SUP",MATCH_LOG!G:G,"승")/COUNTIFS(MATCH_LOG!A:A,A35,MATCH_LOG!B:B,"SUP"),0)</x:f>
        <x:v>0</x:v>
      </x:c>
      <x:c r="L35" s="43" t="s">
        <x:v>16</x:v>
      </x:c>
      <x:c r="M35" s="61">
        <x:v>1</x:v>
      </x:c>
      <x:c r="N35" s="43" t="s">
        <x:v>18</x:v>
      </x:c>
      <x:c r="O35" s="61">
        <x:v>1</x:v>
      </x:c>
      <x:c r="P35" s="45" t="s">
        <x:v>148</x:v>
      </x:c>
      <x:c r="Q35" s="61" t="s">
        <x:v>148</x:v>
      </x:c>
      <x:c r="R35" s="47">
        <x:f>SUMIFS(MATCH_LOG!D:D,MATCH_LOG!A:A,A35)</x:f>
        <x:v>11</x:v>
      </x:c>
      <x:c r="S35" s="48">
        <x:f>SUMIFS(MATCH_LOG!E:E,MATCH_LOG!A:A,A35)</x:f>
        <x:v>7</x:v>
      </x:c>
      <x:c r="T35" s="49">
        <x:f>SUMIFS(MATCH_LOG!F:F,MATCH_LOG!A:A,A35)</x:f>
        <x:v>14</x:v>
      </x:c>
    </x:row>
    <x:row r="36" spans="1:20">
      <x:c r="A36" s="39" t="s">
        <x:v>61</x:v>
      </x:c>
      <x:c r="B36" s="9">
        <x:f>COUNTIF(MATCH_LOG!A:A,A36)</x:f>
        <x:v>14</x:v>
      </x:c>
      <x:c r="C36" s="9">
        <x:f>COUNTIFS(MATCH_LOG!A:A,A36,MATCH_LOG!G:G,"승")</x:f>
        <x:v>6</x:v>
      </x:c>
      <x:c r="D36" s="9">
        <x:f>COUNTIFS(MATCH_LOG!A:A,A36,MATCH_LOG!G:G,"패")</x:f>
        <x:v>8</x:v>
      </x:c>
      <x:c r="E36" s="30">
        <x:f>IF(B36=0,0,C36/B36)</x:f>
        <x:v>0.42857142857142855</x:v>
      </x:c>
      <x:c r="F36" s="29">
        <x:f>IFERROR((SUMIFS(MATCH_LOG!D:D,MATCH_LOG!A:A,A36)+SUMIFS(MATCH_LOG!F:F,MATCH_LOG!A:A,A36))/SUMIFS(MATCH_LOG!E:E,MATCH_LOG!A:A,A36),0)</x:f>
        <x:v>2.3235294117647061</x:v>
      </x:c>
      <x:c r="G36" s="42">
        <x:f>IFERROR(COUNTIFS(MATCH_LOG!A:A,A36,MATCH_LOG!B:B,"TOP",MATCH_LOG!G:G,"승")/COUNTIFS(MATCH_LOG!A:A,A36,MATCH_LOG!B:B,"TOP"),0)</x:f>
        <x:v>0.40000000000000002</x:v>
      </x:c>
      <x:c r="H36" s="42">
        <x:f>IFERROR(COUNTIFS(MATCH_LOG!A:A,A36,MATCH_LOG!B:B,"JG",MATCH_LOG!G:G,"승")/COUNTIFS(MATCH_LOG!A:A,A36,MATCH_LOG!B:B,"JG"),0)</x:f>
        <x:v>0.5</x:v>
      </x:c>
      <x:c r="I36" s="42">
        <x:f>IFERROR(COUNTIFS(MATCH_LOG!A:A,A36,MATCH_LOG!B:B,"MID",MATCH_LOG!G:G,"승")/COUNTIFS(MATCH_LOG!A:A,A36,MATCH_LOG!B:B,"MID"),0)</x:f>
        <x:v>0</x:v>
      </x:c>
      <x:c r="J36" s="42">
        <x:f>IFERROR(COUNTIFS(MATCH_LOG!A:A,A36,MATCH_LOG!B:B,"ADC",MATCH_LOG!G:G,"승")/COUNTIFS(MATCH_LOG!A:A,A36,MATCH_LOG!B:B,"ADC"),0)</x:f>
        <x:v>0</x:v>
      </x:c>
      <x:c r="K36" s="42">
        <x:f>IFERROR(COUNTIFS(MATCH_LOG!A:A,A36,MATCH_LOG!B:B,"SUP",MATCH_LOG!G:G,"승")/COUNTIFS(MATCH_LOG!A:A,A36,MATCH_LOG!B:B,"SUP"),0)</x:f>
        <x:v>0.40000000000000002</x:v>
      </x:c>
      <x:c r="L36" s="43" t="s">
        <x:v>170</x:v>
      </x:c>
      <x:c r="M36" s="61">
        <x:v>3</x:v>
      </x:c>
      <x:c r="N36" s="43" t="s">
        <x:v>120</x:v>
      </x:c>
      <x:c r="O36" s="61">
        <x:v>2</x:v>
      </x:c>
      <x:c r="P36" s="45" t="s">
        <x:v>88</x:v>
      </x:c>
      <x:c r="Q36" s="61">
        <x:v>2</x:v>
      </x:c>
      <x:c r="R36" s="47">
        <x:f>SUMIFS(MATCH_LOG!D:D,MATCH_LOG!A:A,A36)</x:f>
        <x:v>41</x:v>
      </x:c>
      <x:c r="S36" s="48">
        <x:f>SUMIFS(MATCH_LOG!E:E,MATCH_LOG!A:A,A36)</x:f>
        <x:v>68</x:v>
      </x:c>
      <x:c r="T36" s="49">
        <x:f>SUMIFS(MATCH_LOG!F:F,MATCH_LOG!A:A,A36)</x:f>
        <x:v>117</x:v>
      </x:c>
    </x:row>
    <x:row r="37" spans="1:20">
      <x:c r="A37" s="39" t="s">
        <x:v>45</x:v>
      </x:c>
      <x:c r="B37" s="9">
        <x:f>COUNTIF(MATCH_LOG!A:A,A37)</x:f>
        <x:v>2</x:v>
      </x:c>
      <x:c r="C37" s="9">
        <x:f>COUNTIFS(MATCH_LOG!A:A,A37,MATCH_LOG!G:G,"승")</x:f>
        <x:v>1</x:v>
      </x:c>
      <x:c r="D37" s="9">
        <x:f>COUNTIFS(MATCH_LOG!A:A,A37,MATCH_LOG!G:G,"패")</x:f>
        <x:v>1</x:v>
      </x:c>
      <x:c r="E37" s="30">
        <x:f>IF(B37=0,0,C37/B37)</x:f>
        <x:v>0.5</x:v>
      </x:c>
      <x:c r="F37" s="29">
        <x:f>IFERROR((SUMIFS(MATCH_LOG!D:D,MATCH_LOG!A:A,A37)+SUMIFS(MATCH_LOG!F:F,MATCH_LOG!A:A,A37))/SUMIFS(MATCH_LOG!E:E,MATCH_LOG!A:A,A37),0)</x:f>
        <x:v>3.25</x:v>
      </x:c>
      <x:c r="G37" s="42">
        <x:f>IFERROR(COUNTIFS(MATCH_LOG!A:A,A37,MATCH_LOG!B:B,"TOP",MATCH_LOG!G:G,"승")/COUNTIFS(MATCH_LOG!A:A,A37,MATCH_LOG!B:B,"TOP"),0)</x:f>
        <x:v>0</x:v>
      </x:c>
      <x:c r="H37" s="42">
        <x:f>IFERROR(COUNTIFS(MATCH_LOG!A:A,A37,MATCH_LOG!B:B,"JG",MATCH_LOG!G:G,"승")/COUNTIFS(MATCH_LOG!A:A,A37,MATCH_LOG!B:B,"JG"),0)</x:f>
        <x:v>0</x:v>
      </x:c>
      <x:c r="I37" s="42">
        <x:f>IFERROR(COUNTIFS(MATCH_LOG!A:A,A37,MATCH_LOG!B:B,"MID",MATCH_LOG!G:G,"승")/COUNTIFS(MATCH_LOG!A:A,A37,MATCH_LOG!B:B,"MID"),0)</x:f>
        <x:v>0</x:v>
      </x:c>
      <x:c r="J37" s="42">
        <x:f>IFERROR(COUNTIFS(MATCH_LOG!A:A,A37,MATCH_LOG!B:B,"ADC",MATCH_LOG!G:G,"승")/COUNTIFS(MATCH_LOG!A:A,A37,MATCH_LOG!B:B,"ADC"),0)</x:f>
        <x:v>0.5</x:v>
      </x:c>
      <x:c r="K37" s="42">
        <x:f>IFERROR(COUNTIFS(MATCH_LOG!A:A,A37,MATCH_LOG!B:B,"SUP",MATCH_LOG!G:G,"승")/COUNTIFS(MATCH_LOG!A:A,A37,MATCH_LOG!B:B,"SUP"),0)</x:f>
        <x:v>0</x:v>
      </x:c>
      <x:c r="L37" s="43" t="s">
        <x:v>3</x:v>
      </x:c>
      <x:c r="M37" s="61">
        <x:v>1</x:v>
      </x:c>
      <x:c r="N37" s="43" t="s">
        <x:v>168</x:v>
      </x:c>
      <x:c r="O37" s="61">
        <x:v>1</x:v>
      </x:c>
      <x:c r="P37" s="45" t="s">
        <x:v>148</x:v>
      </x:c>
      <x:c r="Q37" s="61" t="s">
        <x:v>148</x:v>
      </x:c>
      <x:c r="R37" s="47">
        <x:f>SUMIFS(MATCH_LOG!D:D,MATCH_LOG!A:A,A37)</x:f>
        <x:v>14</x:v>
      </x:c>
      <x:c r="S37" s="48">
        <x:f>SUMIFS(MATCH_LOG!E:E,MATCH_LOG!A:A,A37)</x:f>
        <x:v>8</x:v>
      </x:c>
      <x:c r="T37" s="49">
        <x:f>SUMIFS(MATCH_LOG!F:F,MATCH_LOG!A:A,A37)</x:f>
        <x:v>12</x:v>
      </x:c>
    </x:row>
    <x:row r="38" spans="1:20">
      <x:c r="A38" s="58" t="s">
        <x:v>130</x:v>
      </x:c>
      <x:c r="B38" s="9">
        <x:f>COUNTIF(MATCH_LOG!A:A,A38)</x:f>
        <x:v>5</x:v>
      </x:c>
      <x:c r="C38" s="9">
        <x:f>COUNTIFS(MATCH_LOG!A:A,A38,MATCH_LOG!G:G,"승")</x:f>
        <x:v>5</x:v>
      </x:c>
      <x:c r="D38" s="9">
        <x:f>COUNTIFS(MATCH_LOG!A:A,A38,MATCH_LOG!G:G,"패")</x:f>
        <x:v>0</x:v>
      </x:c>
      <x:c r="E38" s="30">
        <x:f>IF(B38=0,0,C38/B38)</x:f>
        <x:v>1</x:v>
      </x:c>
      <x:c r="F38" s="29">
        <x:f>IFERROR((SUMIFS(MATCH_LOG!D:D,MATCH_LOG!A:A,A38)+SUMIFS(MATCH_LOG!F:F,MATCH_LOG!A:A,A38))/SUMIFS(MATCH_LOG!E:E,MATCH_LOG!A:A,A38),0)</x:f>
        <x:v>3.0499999999999998</x:v>
      </x:c>
      <x:c r="G38" s="42">
        <x:f>IFERROR(COUNTIFS(MATCH_LOG!A:A,A38,MATCH_LOG!B:B,"TOP",MATCH_LOG!G:G,"승")/COUNTIFS(MATCH_LOG!A:A,A38,MATCH_LOG!B:B,"TOP"),0)</x:f>
        <x:v>0</x:v>
      </x:c>
      <x:c r="H38" s="42">
        <x:f>IFERROR(COUNTIFS(MATCH_LOG!A:A,A38,MATCH_LOG!B:B,"JG",MATCH_LOG!G:G,"승")/COUNTIFS(MATCH_LOG!A:A,A38,MATCH_LOG!B:B,"JG"),0)</x:f>
        <x:v>0</x:v>
      </x:c>
      <x:c r="I38" s="42">
        <x:f>IFERROR(COUNTIFS(MATCH_LOG!A:A,A38,MATCH_LOG!B:B,"MID",MATCH_LOG!G:G,"승")/COUNTIFS(MATCH_LOG!A:A,A38,MATCH_LOG!B:B,"MID"),0)</x:f>
        <x:v>0</x:v>
      </x:c>
      <x:c r="J38" s="42">
        <x:f>IFERROR(COUNTIFS(MATCH_LOG!A:A,A38,MATCH_LOG!B:B,"ADC",MATCH_LOG!G:G,"승")/COUNTIFS(MATCH_LOG!A:A,A38,MATCH_LOG!B:B,"ADC"),0)</x:f>
        <x:v>0</x:v>
      </x:c>
      <x:c r="K38" s="42">
        <x:f>IFERROR(COUNTIFS(MATCH_LOG!A:A,A38,MATCH_LOG!B:B,"SUP",MATCH_LOG!G:G,"승")/COUNTIFS(MATCH_LOG!A:A,A38,MATCH_LOG!B:B,"SUP"),0)</x:f>
        <x:v>1</x:v>
      </x:c>
      <x:c r="L38" s="43" t="s">
        <x:v>135</x:v>
      </x:c>
      <x:c r="M38" s="61">
        <x:v>3</x:v>
      </x:c>
      <x:c r="N38" s="43" t="s">
        <x:v>120</x:v>
      </x:c>
      <x:c r="O38" s="61">
        <x:v>1</x:v>
      </x:c>
      <x:c r="P38" s="45" t="s">
        <x:v>93</x:v>
      </x:c>
      <x:c r="Q38" s="61">
        <x:v>1</x:v>
      </x:c>
      <x:c r="R38" s="47">
        <x:f>SUMIFS(MATCH_LOG!D:D,MATCH_LOG!A:A,A38)</x:f>
        <x:v>6</x:v>
      </x:c>
      <x:c r="S38" s="48">
        <x:f>SUMIFS(MATCH_LOG!E:E,MATCH_LOG!A:A,A38)</x:f>
        <x:v>20</x:v>
      </x:c>
      <x:c r="T38" s="49">
        <x:f>SUMIFS(MATCH_LOG!F:F,MATCH_LOG!A:A,A38)</x:f>
        <x:v>55</x:v>
      </x:c>
    </x:row>
    <x:row r="39" spans="1:20">
      <x:c r="A39" s="63" t="s">
        <x:v>12</x:v>
      </x:c>
      <x:c r="B39" s="9">
        <x:f>COUNTIF(MATCH_LOG!A:A,A39)</x:f>
        <x:v>4</x:v>
      </x:c>
      <x:c r="C39" s="9">
        <x:f>COUNTIFS(MATCH_LOG!A:A,A39,MATCH_LOG!G:G,"승")</x:f>
        <x:v>3</x:v>
      </x:c>
      <x:c r="D39" s="9">
        <x:f>COUNTIFS(MATCH_LOG!A:A,A39,MATCH_LOG!G:G,"패")</x:f>
        <x:v>1</x:v>
      </x:c>
      <x:c r="E39" s="30">
        <x:f>IF(B39=0,0,C39/B39)</x:f>
        <x:v>0.75</x:v>
      </x:c>
      <x:c r="F39" s="29">
        <x:f>IFERROR((SUMIFS(MATCH_LOG!D:D,MATCH_LOG!A:A,A39)+SUMIFS(MATCH_LOG!F:F,MATCH_LOG!A:A,A39))/SUMIFS(MATCH_LOG!E:E,MATCH_LOG!A:A,A39),0)</x:f>
        <x:v>1.6000000000000001</x:v>
      </x:c>
      <x:c r="G39" s="42">
        <x:f>IFERROR(COUNTIFS(MATCH_LOG!A:A,A39,MATCH_LOG!B:B,"TOP",MATCH_LOG!G:G,"승")/COUNTIFS(MATCH_LOG!A:A,A39,MATCH_LOG!B:B,"TOP"),0)</x:f>
        <x:v>1</x:v>
      </x:c>
      <x:c r="H39" s="42">
        <x:f>IFERROR(COUNTIFS(MATCH_LOG!A:A,A39,MATCH_LOG!B:B,"JG",MATCH_LOG!G:G,"승")/COUNTIFS(MATCH_LOG!A:A,A39,MATCH_LOG!B:B,"JG"),0)</x:f>
        <x:v>0</x:v>
      </x:c>
      <x:c r="I39" s="42">
        <x:f>IFERROR(COUNTIFS(MATCH_LOG!A:A,A39,MATCH_LOG!B:B,"MID",MATCH_LOG!G:G,"승")/COUNTIFS(MATCH_LOG!A:A,A39,MATCH_LOG!B:B,"MID"),0)</x:f>
        <x:v>0</x:v>
      </x:c>
      <x:c r="J39" s="42">
        <x:f>IFERROR(COUNTIFS(MATCH_LOG!A:A,A39,MATCH_LOG!B:B,"ADC",MATCH_LOG!G:G,"승")/COUNTIFS(MATCH_LOG!A:A,A39,MATCH_LOG!B:B,"ADC"),0)</x:f>
        <x:v>0</x:v>
      </x:c>
      <x:c r="K39" s="42">
        <x:f>IFERROR(COUNTIFS(MATCH_LOG!A:A,A39,MATCH_LOG!B:B,"SUP",MATCH_LOG!G:G,"승")/COUNTIFS(MATCH_LOG!A:A,A39,MATCH_LOG!B:B,"SUP"),0)</x:f>
        <x:v>0</x:v>
      </x:c>
      <x:c r="L39" s="43" t="s">
        <x:v>2</x:v>
      </x:c>
      <x:c r="M39" s="61">
        <x:v>1</x:v>
      </x:c>
      <x:c r="N39" s="43" t="s">
        <x:v>179</x:v>
      </x:c>
      <x:c r="O39" s="61">
        <x:v>1</x:v>
      </x:c>
      <x:c r="P39" s="45" t="s">
        <x:v>31</x:v>
      </x:c>
      <x:c r="Q39" s="61">
        <x:v>1</x:v>
      </x:c>
      <x:c r="R39" s="47">
        <x:f>SUMIFS(MATCH_LOG!D:D,MATCH_LOG!A:A,A39)</x:f>
        <x:v>12</x:v>
      </x:c>
      <x:c r="S39" s="48">
        <x:f>SUMIFS(MATCH_LOG!E:E,MATCH_LOG!A:A,A39)</x:f>
        <x:v>20</x:v>
      </x:c>
      <x:c r="T39" s="49">
        <x:f>SUMIFS(MATCH_LOG!F:F,MATCH_LOG!A:A,A39)</x:f>
        <x:v>20</x:v>
      </x:c>
    </x:row>
    <x:row r="40" spans="1:20">
      <x:c r="A40" s="35" t="s">
        <x:v>24</x:v>
      </x:c>
      <x:c r="B40" s="9">
        <x:f>COUNTIF(MATCH_LOG!A:A,A40)</x:f>
        <x:v>5</x:v>
      </x:c>
      <x:c r="C40" s="9">
        <x:f>COUNTIFS(MATCH_LOG!A:A,A40,MATCH_LOG!G:G,"승")</x:f>
        <x:v>1</x:v>
      </x:c>
      <x:c r="D40" s="9">
        <x:f>COUNTIFS(MATCH_LOG!A:A,A40,MATCH_LOG!G:G,"패")</x:f>
        <x:v>4</x:v>
      </x:c>
      <x:c r="E40" s="30">
        <x:f>IF(B40=0,0,C40/B40)</x:f>
        <x:v>0.20000000000000001</x:v>
      </x:c>
      <x:c r="F40" s="29">
        <x:f>IFERROR((SUMIFS(MATCH_LOG!D:D,MATCH_LOG!A:A,A40)+SUMIFS(MATCH_LOG!F:F,MATCH_LOG!A:A,A40))/SUMIFS(MATCH_LOG!E:E,MATCH_LOG!A:A,A40),0)</x:f>
        <x:v>2.4761904761904763</x:v>
      </x:c>
      <x:c r="G40" s="42">
        <x:f>IFERROR(COUNTIFS(MATCH_LOG!A:A,A40,MATCH_LOG!B:B,"TOP",MATCH_LOG!G:G,"승")/COUNTIFS(MATCH_LOG!A:A,A40,MATCH_LOG!B:B,"TOP"),0)</x:f>
        <x:v>0</x:v>
      </x:c>
      <x:c r="H40" s="42">
        <x:f>IFERROR(COUNTIFS(MATCH_LOG!A:A,A40,MATCH_LOG!B:B,"JG",MATCH_LOG!G:G,"승")/COUNTIFS(MATCH_LOG!A:A,A40,MATCH_LOG!B:B,"JG"),0)</x:f>
        <x:v>0</x:v>
      </x:c>
      <x:c r="I40" s="42">
        <x:f>IFERROR(COUNTIFS(MATCH_LOG!A:A,A40,MATCH_LOG!B:B,"MID",MATCH_LOG!G:G,"승")/COUNTIFS(MATCH_LOG!A:A,A40,MATCH_LOG!B:B,"MID"),0)</x:f>
        <x:v>0</x:v>
      </x:c>
      <x:c r="J40" s="42">
        <x:f>IFERROR(COUNTIFS(MATCH_LOG!A:A,A40,MATCH_LOG!B:B,"ADC",MATCH_LOG!G:G,"승")/COUNTIFS(MATCH_LOG!A:A,A40,MATCH_LOG!B:B,"ADC"),0)</x:f>
        <x:v>0</x:v>
      </x:c>
      <x:c r="K40" s="42">
        <x:f>IFERROR(COUNTIFS(MATCH_LOG!A:A,A40,MATCH_LOG!B:B,"SUP",MATCH_LOG!G:G,"승")/COUNTIFS(MATCH_LOG!A:A,A40,MATCH_LOG!B:B,"SUP"),0)</x:f>
        <x:v>0.20000000000000001</x:v>
      </x:c>
      <x:c r="L40" s="43" t="s">
        <x:v>51</x:v>
      </x:c>
      <x:c r="M40" s="61">
        <x:v>2</x:v>
      </x:c>
      <x:c r="N40" s="43" t="s">
        <x:v>145</x:v>
      </x:c>
      <x:c r="O40" s="61">
        <x:v>2</x:v>
      </x:c>
      <x:c r="P40" s="45" t="s">
        <x:v>93</x:v>
      </x:c>
      <x:c r="Q40" s="61">
        <x:v>1</x:v>
      </x:c>
      <x:c r="R40" s="47">
        <x:f>SUMIFS(MATCH_LOG!D:D,MATCH_LOG!A:A,A40)</x:f>
        <x:v>3</x:v>
      </x:c>
      <x:c r="S40" s="48">
        <x:f>SUMIFS(MATCH_LOG!E:E,MATCH_LOG!A:A,A40)</x:f>
        <x:v>21</x:v>
      </x:c>
      <x:c r="T40" s="49">
        <x:f>SUMIFS(MATCH_LOG!F:F,MATCH_LOG!A:A,A40)</x:f>
        <x:v>49</x:v>
      </x:c>
    </x:row>
    <x:row r="41" spans="1:20">
      <x:c r="A41" s="36" t="s">
        <x:v>78</x:v>
      </x:c>
      <x:c r="B41" s="9">
        <x:f>COUNTIF(MATCH_LOG!A:A,A41)</x:f>
        <x:v>2</x:v>
      </x:c>
      <x:c r="C41" s="9">
        <x:f>COUNTIFS(MATCH_LOG!A:A,A41,MATCH_LOG!G:G,"승")</x:f>
        <x:v>2</x:v>
      </x:c>
      <x:c r="D41" s="9">
        <x:f>COUNTIFS(MATCH_LOG!A:A,A41,MATCH_LOG!G:G,"패")</x:f>
        <x:v>0</x:v>
      </x:c>
      <x:c r="E41" s="30">
        <x:f>IF(B41=0,0,C41/B41)</x:f>
        <x:v>1</x:v>
      </x:c>
      <x:c r="F41" s="29">
        <x:f>IFERROR((SUMIFS(MATCH_LOG!D:D,MATCH_LOG!A:A,A41)+SUMIFS(MATCH_LOG!F:F,MATCH_LOG!A:A,A41))/SUMIFS(MATCH_LOG!E:E,MATCH_LOG!A:A,A41),0)</x:f>
        <x:v>4.5</x:v>
      </x:c>
      <x:c r="G41" s="42">
        <x:f>IFERROR(COUNTIFS(MATCH_LOG!A:A,A41,MATCH_LOG!B:B,"TOP",MATCH_LOG!G:G,"승")/COUNTIFS(MATCH_LOG!A:A,A41,MATCH_LOG!B:B,"TOP"),0)</x:f>
        <x:v>0</x:v>
      </x:c>
      <x:c r="H41" s="42">
        <x:f>IFERROR(COUNTIFS(MATCH_LOG!A:A,A41,MATCH_LOG!B:B,"JG",MATCH_LOG!G:G,"승")/COUNTIFS(MATCH_LOG!A:A,A41,MATCH_LOG!B:B,"JG"),0)</x:f>
        <x:v>0</x:v>
      </x:c>
      <x:c r="I41" s="42">
        <x:f>IFERROR(COUNTIFS(MATCH_LOG!A:A,A41,MATCH_LOG!B:B,"MID",MATCH_LOG!G:G,"승")/COUNTIFS(MATCH_LOG!A:A,A41,MATCH_LOG!B:B,"MID"),0)</x:f>
        <x:v>1</x:v>
      </x:c>
      <x:c r="J41" s="42">
        <x:f>IFERROR(COUNTIFS(MATCH_LOG!A:A,A41,MATCH_LOG!B:B,"ADC",MATCH_LOG!G:G,"승")/COUNTIFS(MATCH_LOG!A:A,A41,MATCH_LOG!B:B,"ADC"),0)</x:f>
        <x:v>0</x:v>
      </x:c>
      <x:c r="K41" s="42">
        <x:f>IFERROR(COUNTIFS(MATCH_LOG!A:A,A41,MATCH_LOG!B:B,"SUP",MATCH_LOG!G:G,"승")/COUNTIFS(MATCH_LOG!A:A,A41,MATCH_LOG!B:B,"SUP"),0)</x:f>
        <x:v>0</x:v>
      </x:c>
      <x:c r="L41" s="43" t="s">
        <x:v>83</x:v>
      </x:c>
      <x:c r="M41" s="61">
        <x:v>1</x:v>
      </x:c>
      <x:c r="N41" s="43" t="s">
        <x:v>110</x:v>
      </x:c>
      <x:c r="O41" s="61">
        <x:v>1</x:v>
      </x:c>
      <x:c r="P41" s="45" t="s">
        <x:v>148</x:v>
      </x:c>
      <x:c r="Q41" s="61" t="s">
        <x:v>148</x:v>
      </x:c>
      <x:c r="R41" s="47">
        <x:f>SUMIFS(MATCH_LOG!D:D,MATCH_LOG!A:A,A41)</x:f>
        <x:v>6</x:v>
      </x:c>
      <x:c r="S41" s="48">
        <x:f>SUMIFS(MATCH_LOG!E:E,MATCH_LOG!A:A,A41)</x:f>
        <x:v>6</x:v>
      </x:c>
      <x:c r="T41" s="49">
        <x:f>SUMIFS(MATCH_LOG!F:F,MATCH_LOG!A:A,A41)</x:f>
        <x:v>21</x:v>
      </x:c>
    </x:row>
    <x:row r="42" spans="1:20">
      <x:c r="A42" s="36" t="s">
        <x:v>182</x:v>
      </x:c>
      <x:c r="B42" s="9">
        <x:f>COUNTIF(MATCH_LOG!A:A,A42)</x:f>
        <x:v>3</x:v>
      </x:c>
      <x:c r="C42" s="9">
        <x:f>COUNTIFS(MATCH_LOG!A:A,A42,MATCH_LOG!G:G,"승")</x:f>
        <x:v>3</x:v>
      </x:c>
      <x:c r="D42" s="9">
        <x:f>COUNTIFS(MATCH_LOG!A:A,A42,MATCH_LOG!G:G,"패")</x:f>
        <x:v>0</x:v>
      </x:c>
      <x:c r="E42" s="30">
        <x:f>IF(B42=0,0,C42/B42)</x:f>
        <x:v>1</x:v>
      </x:c>
      <x:c r="F42" s="29">
        <x:f>IFERROR((SUMIFS(MATCH_LOG!D:D,MATCH_LOG!A:A,A42)+SUMIFS(MATCH_LOG!F:F,MATCH_LOG!A:A,A42))/SUMIFS(MATCH_LOG!E:E,MATCH_LOG!A:A,A42),0)</x:f>
        <x:v>2.1428571428571428</x:v>
      </x:c>
      <x:c r="G42" s="42">
        <x:f>IFERROR(COUNTIFS(MATCH_LOG!A:A,A42,MATCH_LOG!B:B,"TOP",MATCH_LOG!G:G,"승")/COUNTIFS(MATCH_LOG!A:A,A42,MATCH_LOG!B:B,"TOP"),0)</x:f>
        <x:v>0</x:v>
      </x:c>
      <x:c r="H42" s="42">
        <x:f>IFERROR(COUNTIFS(MATCH_LOG!A:A,A42,MATCH_LOG!B:B,"JG",MATCH_LOG!G:G,"승")/COUNTIFS(MATCH_LOG!A:A,A42,MATCH_LOG!B:B,"JG"),0)</x:f>
        <x:v>0</x:v>
      </x:c>
      <x:c r="I42" s="42">
        <x:f>IFERROR(COUNTIFS(MATCH_LOG!A:A,A42,MATCH_LOG!B:B,"MID",MATCH_LOG!G:G,"승")/COUNTIFS(MATCH_LOG!A:A,A42,MATCH_LOG!B:B,"MID"),0)</x:f>
        <x:v>0</x:v>
      </x:c>
      <x:c r="J42" s="42">
        <x:f>IFERROR(COUNTIFS(MATCH_LOG!A:A,A42,MATCH_LOG!B:B,"ADC",MATCH_LOG!G:G,"승")/COUNTIFS(MATCH_LOG!A:A,A42,MATCH_LOG!B:B,"ADC"),0)</x:f>
        <x:v>0</x:v>
      </x:c>
      <x:c r="K42" s="42">
        <x:f>IFERROR(COUNTIFS(MATCH_LOG!A:A,A42,MATCH_LOG!B:B,"SUP",MATCH_LOG!G:G,"승")/COUNTIFS(MATCH_LOG!A:A,A42,MATCH_LOG!B:B,"SUP"),0)</x:f>
        <x:v>1</x:v>
      </x:c>
      <x:c r="L42" s="43" t="s">
        <x:v>131</x:v>
      </x:c>
      <x:c r="M42" s="61">
        <x:v>1</x:v>
      </x:c>
      <x:c r="N42" s="43" t="s">
        <x:v>132</x:v>
      </x:c>
      <x:c r="O42" s="61">
        <x:v>1</x:v>
      </x:c>
      <x:c r="P42" s="45" t="s">
        <x:v>125</x:v>
      </x:c>
      <x:c r="Q42" s="61">
        <x:v>1</x:v>
      </x:c>
      <x:c r="R42" s="47">
        <x:f>SUMIFS(MATCH_LOG!D:D,MATCH_LOG!A:A,A42)</x:f>
        <x:v>5</x:v>
      </x:c>
      <x:c r="S42" s="48">
        <x:f>SUMIFS(MATCH_LOG!E:E,MATCH_LOG!A:A,A42)</x:f>
        <x:v>21</x:v>
      </x:c>
      <x:c r="T42" s="49">
        <x:f>SUMIFS(MATCH_LOG!F:F,MATCH_LOG!A:A,A42)</x:f>
        <x:v>40</x:v>
      </x:c>
    </x:row>
    <x:row r="43" spans="1:20">
      <x:c r="A43" s="36" t="s">
        <x:v>128</x:v>
      </x:c>
      <x:c r="B43" s="9">
        <x:f>COUNTIF(MATCH_LOG!A:A,A43)</x:f>
        <x:v>2</x:v>
      </x:c>
      <x:c r="C43" s="9">
        <x:f>COUNTIFS(MATCH_LOG!A:A,A43,MATCH_LOG!G:G,"승")</x:f>
        <x:v>1</x:v>
      </x:c>
      <x:c r="D43" s="9">
        <x:f>COUNTIFS(MATCH_LOG!A:A,A43,MATCH_LOG!G:G,"패")</x:f>
        <x:v>1</x:v>
      </x:c>
      <x:c r="E43" s="30">
        <x:f>IF(B43=0,0,C43/B43)</x:f>
        <x:v>0.5</x:v>
      </x:c>
      <x:c r="F43" s="29">
        <x:f>IFERROR((SUMIFS(MATCH_LOG!D:D,MATCH_LOG!A:A,A43)+SUMIFS(MATCH_LOG!F:F,MATCH_LOG!A:A,A43))/SUMIFS(MATCH_LOG!E:E,MATCH_LOG!A:A,A43),0)</x:f>
        <x:v>3.5384615384615383</x:v>
      </x:c>
      <x:c r="G43" s="42">
        <x:f>IFERROR(COUNTIFS(MATCH_LOG!A:A,A43,MATCH_LOG!B:B,"TOP",MATCH_LOG!G:G,"승")/COUNTIFS(MATCH_LOG!A:A,A43,MATCH_LOG!B:B,"TOP"),0)</x:f>
        <x:v>0</x:v>
      </x:c>
      <x:c r="H43" s="42">
        <x:f>IFERROR(COUNTIFS(MATCH_LOG!A:A,A43,MATCH_LOG!B:B,"JG",MATCH_LOG!G:G,"승")/COUNTIFS(MATCH_LOG!A:A,A43,MATCH_LOG!B:B,"JG"),0)</x:f>
        <x:v>0</x:v>
      </x:c>
      <x:c r="I43" s="42">
        <x:f>IFERROR(COUNTIFS(MATCH_LOG!A:A,A43,MATCH_LOG!B:B,"MID",MATCH_LOG!G:G,"승")/COUNTIFS(MATCH_LOG!A:A,A43,MATCH_LOG!B:B,"MID"),0)</x:f>
        <x:v>0</x:v>
      </x:c>
      <x:c r="J43" s="42">
        <x:f>IFERROR(COUNTIFS(MATCH_LOG!A:A,A43,MATCH_LOG!B:B,"ADC",MATCH_LOG!G:G,"승")/COUNTIFS(MATCH_LOG!A:A,A43,MATCH_LOG!B:B,"ADC"),0)</x:f>
        <x:v>0</x:v>
      </x:c>
      <x:c r="K43" s="42">
        <x:f>IFERROR(COUNTIFS(MATCH_LOG!A:A,A43,MATCH_LOG!B:B,"SUP",MATCH_LOG!G:G,"승")/COUNTIFS(MATCH_LOG!A:A,A43,MATCH_LOG!B:B,"SUP"),0)</x:f>
        <x:v>0.5</x:v>
      </x:c>
      <x:c r="L43" s="43" t="s">
        <x:v>84</x:v>
      </x:c>
      <x:c r="M43" s="61">
        <x:v>1</x:v>
      </x:c>
      <x:c r="N43" s="43" t="s">
        <x:v>160</x:v>
      </x:c>
      <x:c r="O43" s="61">
        <x:v>1</x:v>
      </x:c>
      <x:c r="P43" s="45" t="s">
        <x:v>148</x:v>
      </x:c>
      <x:c r="Q43" s="61" t="s">
        <x:v>148</x:v>
      </x:c>
      <x:c r="R43" s="47">
        <x:f>SUMIFS(MATCH_LOG!D:D,MATCH_LOG!A:A,A43)</x:f>
        <x:v>10</x:v>
      </x:c>
      <x:c r="S43" s="48">
        <x:f>SUMIFS(MATCH_LOG!E:E,MATCH_LOG!A:A,A43)</x:f>
        <x:v>13</x:v>
      </x:c>
      <x:c r="T43" s="49">
        <x:f>SUMIFS(MATCH_LOG!F:F,MATCH_LOG!A:A,A43)</x:f>
        <x:v>36</x:v>
      </x:c>
    </x:row>
    <x:row r="44" spans="1:20">
      <x:c r="A44" s="36" t="s">
        <x:v>14</x:v>
      </x:c>
      <x:c r="B44" s="9">
        <x:f>COUNTIF(MATCH_LOG!A:A,A44)</x:f>
        <x:v>3</x:v>
      </x:c>
      <x:c r="C44" s="9">
        <x:f>COUNTIFS(MATCH_LOG!A:A,A44,MATCH_LOG!G:G,"승")</x:f>
        <x:v>1</x:v>
      </x:c>
      <x:c r="D44" s="9">
        <x:f>COUNTIFS(MATCH_LOG!A:A,A44,MATCH_LOG!G:G,"패")</x:f>
        <x:v>2</x:v>
      </x:c>
      <x:c r="E44" s="30">
        <x:f>IF(B44=0,0,C44/B44)</x:f>
        <x:v>0.33333333333333331</x:v>
      </x:c>
      <x:c r="F44" s="29">
        <x:f>IFERROR((SUMIFS(MATCH_LOG!D:D,MATCH_LOG!A:A,A44)+SUMIFS(MATCH_LOG!F:F,MATCH_LOG!A:A,A44))/SUMIFS(MATCH_LOG!E:E,MATCH_LOG!A:A,A44),0)</x:f>
        <x:v>2.5185185185185186</x:v>
      </x:c>
      <x:c r="G44" s="42">
        <x:f>IFERROR(COUNTIFS(MATCH_LOG!A:A,A44,MATCH_LOG!B:B,"TOP",MATCH_LOG!G:G,"승")/COUNTIFS(MATCH_LOG!A:A,A44,MATCH_LOG!B:B,"TOP"),0)</x:f>
        <x:v>0</x:v>
      </x:c>
      <x:c r="H44" s="42">
        <x:f>IFERROR(COUNTIFS(MATCH_LOG!A:A,A44,MATCH_LOG!B:B,"JG",MATCH_LOG!G:G,"승")/COUNTIFS(MATCH_LOG!A:A,A44,MATCH_LOG!B:B,"JG"),0)</x:f>
        <x:v>0</x:v>
      </x:c>
      <x:c r="I44" s="42">
        <x:f>IFERROR(COUNTIFS(MATCH_LOG!A:A,A44,MATCH_LOG!B:B,"MID",MATCH_LOG!G:G,"승")/COUNTIFS(MATCH_LOG!A:A,A44,MATCH_LOG!B:B,"MID"),0)</x:f>
        <x:v>0</x:v>
      </x:c>
      <x:c r="J44" s="42">
        <x:f>IFERROR(COUNTIFS(MATCH_LOG!A:A,A44,MATCH_LOG!B:B,"ADC",MATCH_LOG!G:G,"승")/COUNTIFS(MATCH_LOG!A:A,A44,MATCH_LOG!B:B,"ADC"),0)</x:f>
        <x:v>0</x:v>
      </x:c>
      <x:c r="K44" s="42">
        <x:f>IFERROR(COUNTIFS(MATCH_LOG!A:A,A44,MATCH_LOG!B:B,"SUP",MATCH_LOG!G:G,"승")/COUNTIFS(MATCH_LOG!A:A,A44,MATCH_LOG!B:B,"SUP"),0)</x:f>
        <x:v>0.33333333333333331</x:v>
      </x:c>
      <x:c r="L44" s="43" t="s">
        <x:v>115</x:v>
      </x:c>
      <x:c r="M44" s="61">
        <x:v>2</x:v>
      </x:c>
      <x:c r="N44" s="43" t="s">
        <x:v>86</x:v>
      </x:c>
      <x:c r="O44" s="61">
        <x:v>1</x:v>
      </x:c>
      <x:c r="P44" s="45" t="s">
        <x:v>148</x:v>
      </x:c>
      <x:c r="Q44" s="61" t="s">
        <x:v>148</x:v>
      </x:c>
      <x:c r="R44" s="47">
        <x:f>SUMIFS(MATCH_LOG!D:D,MATCH_LOG!A:A,A44)</x:f>
        <x:v>12</x:v>
      </x:c>
      <x:c r="S44" s="48">
        <x:f>SUMIFS(MATCH_LOG!E:E,MATCH_LOG!A:A,A44)</x:f>
        <x:v>27</x:v>
      </x:c>
      <x:c r="T44" s="49">
        <x:f>SUMIFS(MATCH_LOG!F:F,MATCH_LOG!A:A,A44)</x:f>
        <x:v>56</x:v>
      </x:c>
    </x:row>
    <x:row r="45" spans="1:20">
      <x:c r="A45" s="36" t="s">
        <x:v>8</x:v>
      </x:c>
      <x:c r="B45" s="9">
        <x:f>COUNTIF(MATCH_LOG!A:A,A45)</x:f>
        <x:v>4</x:v>
      </x:c>
      <x:c r="C45" s="9">
        <x:f>COUNTIFS(MATCH_LOG!A:A,A45,MATCH_LOG!G:G,"승")</x:f>
        <x:v>3</x:v>
      </x:c>
      <x:c r="D45" s="9">
        <x:f>COUNTIFS(MATCH_LOG!A:A,A45,MATCH_LOG!G:G,"패")</x:f>
        <x:v>1</x:v>
      </x:c>
      <x:c r="E45" s="30">
        <x:f>IF(B45=0,0,C45/B45)</x:f>
        <x:v>0.75</x:v>
      </x:c>
      <x:c r="F45" s="29">
        <x:f>IFERROR((SUMIFS(MATCH_LOG!D:D,MATCH_LOG!A:A,A45)+SUMIFS(MATCH_LOG!F:F,MATCH_LOG!A:A,A45))/SUMIFS(MATCH_LOG!E:E,MATCH_LOG!A:A,A45),0)</x:f>
        <x:v>3.1200000000000001</x:v>
      </x:c>
      <x:c r="G45" s="42">
        <x:f>IFERROR(COUNTIFS(MATCH_LOG!A:A,A45,MATCH_LOG!B:B,"TOP",MATCH_LOG!G:G,"승")/COUNTIFS(MATCH_LOG!A:A,A45,MATCH_LOG!B:B,"TOP"),0)</x:f>
        <x:v>0</x:v>
      </x:c>
      <x:c r="H45" s="42">
        <x:f>IFERROR(COUNTIFS(MATCH_LOG!A:A,A45,MATCH_LOG!B:B,"JG",MATCH_LOG!G:G,"승")/COUNTIFS(MATCH_LOG!A:A,A45,MATCH_LOG!B:B,"JG"),0)</x:f>
        <x:v>0</x:v>
      </x:c>
      <x:c r="I45" s="42">
        <x:f>IFERROR(COUNTIFS(MATCH_LOG!A:A,A45,MATCH_LOG!B:B,"MID",MATCH_LOG!G:G,"승")/COUNTIFS(MATCH_LOG!A:A,A45,MATCH_LOG!B:B,"MID"),0)</x:f>
        <x:v>0</x:v>
      </x:c>
      <x:c r="J45" s="42">
        <x:f>IFERROR(COUNTIFS(MATCH_LOG!A:A,A45,MATCH_LOG!B:B,"ADC",MATCH_LOG!G:G,"승")/COUNTIFS(MATCH_LOG!A:A,A45,MATCH_LOG!B:B,"ADC"),0)</x:f>
        <x:v>0</x:v>
      </x:c>
      <x:c r="K45" s="42">
        <x:f>IFERROR(COUNTIFS(MATCH_LOG!A:A,A45,MATCH_LOG!B:B,"SUP",MATCH_LOG!G:G,"승")/COUNTIFS(MATCH_LOG!A:A,A45,MATCH_LOG!B:B,"SUP"),0)</x:f>
        <x:v>0.75</x:v>
      </x:c>
      <x:c r="L45" s="43" t="s">
        <x:v>125</x:v>
      </x:c>
      <x:c r="M45" s="61">
        <x:v>2</x:v>
      </x:c>
      <x:c r="N45" s="43" t="s">
        <x:v>84</x:v>
      </x:c>
      <x:c r="O45" s="61">
        <x:v>1</x:v>
      </x:c>
      <x:c r="P45" s="45" t="s">
        <x:v>166</x:v>
      </x:c>
      <x:c r="Q45" s="61">
        <x:v>1</x:v>
      </x:c>
      <x:c r="R45" s="47">
        <x:f>SUMIFS(MATCH_LOG!D:D,MATCH_LOG!A:A,A45)</x:f>
        <x:v>5</x:v>
      </x:c>
      <x:c r="S45" s="48">
        <x:f>SUMIFS(MATCH_LOG!E:E,MATCH_LOG!A:A,A45)</x:f>
        <x:v>25</x:v>
      </x:c>
      <x:c r="T45" s="49">
        <x:f>SUMIFS(MATCH_LOG!F:F,MATCH_LOG!A:A,A45)</x:f>
        <x:v>73</x:v>
      </x:c>
    </x:row>
    <x:row r="46" spans="1:20">
      <x:c r="A46" s="36" t="s">
        <x:v>5</x:v>
      </x:c>
      <x:c r="B46" s="9">
        <x:f>COUNTIF(MATCH_LOG!A:A,A46)</x:f>
        <x:v>1</x:v>
      </x:c>
      <x:c r="C46" s="9">
        <x:f>COUNTIFS(MATCH_LOG!A:A,A46,MATCH_LOG!G:G,"승")</x:f>
        <x:v>0</x:v>
      </x:c>
      <x:c r="D46" s="9">
        <x:f>COUNTIFS(MATCH_LOG!A:A,A46,MATCH_LOG!G:G,"패")</x:f>
        <x:v>1</x:v>
      </x:c>
      <x:c r="E46" s="30">
        <x:f>IF(B46=0,0,C46/B46)</x:f>
        <x:v>0</x:v>
      </x:c>
      <x:c r="F46" s="29">
        <x:f>IFERROR((SUMIFS(MATCH_LOG!D:D,MATCH_LOG!A:A,A46)+SUMIFS(MATCH_LOG!F:F,MATCH_LOG!A:A,A46))/SUMIFS(MATCH_LOG!E:E,MATCH_LOG!A:A,A46),0)</x:f>
        <x:v>0.75</x:v>
      </x:c>
      <x:c r="G46" s="42">
        <x:f>IFERROR(COUNTIFS(MATCH_LOG!A:A,A46,MATCH_LOG!B:B,"TOP",MATCH_LOG!G:G,"승")/COUNTIFS(MATCH_LOG!A:A,A46,MATCH_LOG!B:B,"TOP"),0)</x:f>
        <x:v>0</x:v>
      </x:c>
      <x:c r="H46" s="42">
        <x:f>IFERROR(COUNTIFS(MATCH_LOG!A:A,A46,MATCH_LOG!B:B,"JG",MATCH_LOG!G:G,"승")/COUNTIFS(MATCH_LOG!A:A,A46,MATCH_LOG!B:B,"JG"),0)</x:f>
        <x:v>0</x:v>
      </x:c>
      <x:c r="I46" s="42">
        <x:f>IFERROR(COUNTIFS(MATCH_LOG!A:A,A46,MATCH_LOG!B:B,"MID",MATCH_LOG!G:G,"승")/COUNTIFS(MATCH_LOG!A:A,A46,MATCH_LOG!B:B,"MID"),0)</x:f>
        <x:v>0</x:v>
      </x:c>
      <x:c r="J46" s="42">
        <x:f>IFERROR(COUNTIFS(MATCH_LOG!A:A,A46,MATCH_LOG!B:B,"ADC",MATCH_LOG!G:G,"승")/COUNTIFS(MATCH_LOG!A:A,A46,MATCH_LOG!B:B,"ADC"),0)</x:f>
        <x:v>0</x:v>
      </x:c>
      <x:c r="K46" s="42">
        <x:f>IFERROR(COUNTIFS(MATCH_LOG!A:A,A46,MATCH_LOG!B:B,"SUP",MATCH_LOG!G:G,"승")/COUNTIFS(MATCH_LOG!A:A,A46,MATCH_LOG!B:B,"SUP"),0)</x:f>
        <x:v>0</x:v>
      </x:c>
      <x:c r="L46" s="43" t="s">
        <x:v>111</x:v>
      </x:c>
      <x:c r="M46" s="61">
        <x:v>1</x:v>
      </x:c>
      <x:c r="N46" s="43" t="s">
        <x:v>148</x:v>
      </x:c>
      <x:c r="O46" s="61" t="s">
        <x:v>148</x:v>
      </x:c>
      <x:c r="P46" s="45" t="s">
        <x:v>148</x:v>
      </x:c>
      <x:c r="Q46" s="61" t="s">
        <x:v>148</x:v>
      </x:c>
      <x:c r="R46" s="47">
        <x:f>SUMIFS(MATCH_LOG!D:D,MATCH_LOG!A:A,A46)</x:f>
        <x:v>1</x:v>
      </x:c>
      <x:c r="S46" s="48">
        <x:f>SUMIFS(MATCH_LOG!E:E,MATCH_LOG!A:A,A46)</x:f>
        <x:v>4</x:v>
      </x:c>
      <x:c r="T46" s="49">
        <x:f>SUMIFS(MATCH_LOG!F:F,MATCH_LOG!A:A,A46)</x:f>
        <x:v>2</x:v>
      </x:c>
    </x:row>
    <x:row r="47" spans="1:20" ht="16.75">
      <x:c r="A47" s="36" t="s">
        <x:v>85</x:v>
      </x:c>
      <x:c r="B47" s="9">
        <x:f>COUNTIF(MATCH_LOG!A:A,A47)</x:f>
        <x:v>9</x:v>
      </x:c>
      <x:c r="C47" s="9">
        <x:f>COUNTIFS(MATCH_LOG!A:A,A47,MATCH_LOG!G:G,"승")</x:f>
        <x:v>6</x:v>
      </x:c>
      <x:c r="D47" s="9">
        <x:f>COUNTIFS(MATCH_LOG!A:A,A47,MATCH_LOG!G:G,"패")</x:f>
        <x:v>3</x:v>
      </x:c>
      <x:c r="E47" s="30">
        <x:f>IF(B47=0,0,C47/B47)</x:f>
        <x:v>0.66666666666666663</x:v>
      </x:c>
      <x:c r="F47" s="29">
        <x:f>IFERROR((SUMIFS(MATCH_LOG!D:D,MATCH_LOG!A:A,A47)+SUMIFS(MATCH_LOG!F:F,MATCH_LOG!A:A,A47))/SUMIFS(MATCH_LOG!E:E,MATCH_LOG!A:A,A47),0)</x:f>
        <x:v>2.5869565217391304</x:v>
      </x:c>
      <x:c r="G47" s="42">
        <x:f>IFERROR(COUNTIFS(MATCH_LOG!A:A,A47,MATCH_LOG!B:B,"TOP",MATCH_LOG!G:G,"승")/COUNTIFS(MATCH_LOG!A:A,A47,MATCH_LOG!B:B,"TOP"),0)</x:f>
        <x:v>0.66666666666666663</x:v>
      </x:c>
      <x:c r="H47" s="42">
        <x:f>IFERROR(COUNTIFS(MATCH_LOG!A:A,A47,MATCH_LOG!B:B,"JG",MATCH_LOG!G:G,"승")/COUNTIFS(MATCH_LOG!A:A,A47,MATCH_LOG!B:B,"JG"),0)</x:f>
        <x:v>0.5</x:v>
      </x:c>
      <x:c r="I47" s="42">
        <x:f>IFERROR(COUNTIFS(MATCH_LOG!A:A,A47,MATCH_LOG!B:B,"MID",MATCH_LOG!G:G,"승")/COUNTIFS(MATCH_LOG!A:A,A47,MATCH_LOG!B:B,"MID"),0)</x:f>
        <x:v>0</x:v>
      </x:c>
      <x:c r="J47" s="42">
        <x:f>IFERROR(COUNTIFS(MATCH_LOG!A:A,A47,MATCH_LOG!B:B,"ADC",MATCH_LOG!G:G,"승")/COUNTIFS(MATCH_LOG!A:A,A47,MATCH_LOG!B:B,"ADC"),0)</x:f>
        <x:v>1</x:v>
      </x:c>
      <x:c r="K47" s="42">
        <x:f>IFERROR(COUNTIFS(MATCH_LOG!A:A,A47,MATCH_LOG!B:B,"SUP",MATCH_LOG!G:G,"승")/COUNTIFS(MATCH_LOG!A:A,A47,MATCH_LOG!B:B,"SUP"),0)</x:f>
        <x:v>0</x:v>
      </x:c>
      <x:c r="L47" s="43" t="s">
        <x:v>83</x:v>
      </x:c>
      <x:c r="M47" s="62">
        <x:v>2</x:v>
      </x:c>
      <x:c r="N47" s="43" t="s">
        <x:v>96</x:v>
      </x:c>
      <x:c r="O47" s="61">
        <x:v>2</x:v>
      </x:c>
      <x:c r="P47" s="45" t="s">
        <x:v>140</x:v>
      </x:c>
      <x:c r="Q47" s="61">
        <x:v>1</x:v>
      </x:c>
      <x:c r="R47" s="50">
        <x:f>SUMIFS(MATCH_LOG!D:D,MATCH_LOG!A:A,A47)</x:f>
        <x:v>58</x:v>
      </x:c>
      <x:c r="S47" s="51">
        <x:f>SUMIFS(MATCH_LOG!E:E,MATCH_LOG!A:A,A47)</x:f>
        <x:v>46</x:v>
      </x:c>
      <x:c r="T47" s="52">
        <x:f>SUMIFS(MATCH_LOG!F:F,MATCH_LOG!A:A,A47)</x:f>
        <x:v>61</x:v>
      </x:c>
    </x:row>
    <x:row r="48" spans="2:2">
      <x:c r="B48">
        <x:f>SUM(B2:B47)/10</x:f>
        <x:v>57</x:v>
      </x:c>
    </x:row>
  </x:sheetData>
  <x:conditionalFormatting sqref="B1:B1048576">
    <x:cfRule type="top10" dxfId="8" priority="15" rank="11"/>
  </x:conditionalFormatting>
  <x:conditionalFormatting sqref="F1:F1048576">
    <x:cfRule type="cellIs" dxfId="5" priority="14" operator="greaterThan">
      <x:formula>3</x:formula>
    </x:cfRule>
    <x:cfRule type="cellIs" dxfId="6" priority="13" operator="between">
      <x:formula>2</x:formula>
      <x:formula>3</x:formula>
    </x:cfRule>
    <x:cfRule type="cellIs" dxfId="7" priority="12" operator="lessThan">
      <x:formula>1</x:formula>
    </x:cfRule>
  </x:conditionalFormatting>
  <x:conditionalFormatting sqref="G1:G1048576">
    <x:cfRule type="top10" dxfId="4" priority="24" rank="3"/>
  </x:conditionalFormatting>
  <x:conditionalFormatting sqref="H1:H1048576">
    <x:cfRule type="top10" dxfId="3" priority="27" rank="3"/>
  </x:conditionalFormatting>
  <x:conditionalFormatting sqref="I1:I1048576">
    <x:cfRule type="top10" dxfId="2" priority="30" rank="3"/>
  </x:conditionalFormatting>
  <x:conditionalFormatting sqref="J1:J1048576">
    <x:cfRule type="top10" dxfId="1" priority="33" rank="3"/>
  </x:conditionalFormatting>
  <x:conditionalFormatting sqref="K1:K1048576">
    <x:cfRule type="top10" dxfId="0" priority="36" rank="3"/>
  </x:conditionalFormatting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699"/>
  <x:sheetViews>
    <x:sheetView topLeftCell="A1" zoomScaleNormal="100" zoomScaleSheetLayoutView="75" workbookViewId="0">
      <x:pane xSplit="0" ySplit="1" topLeftCell="A26" activePane="bottomLeft" state="frozen"/>
      <x:selection pane="bottomLeft" activeCell="C52" activeCellId="0" sqref="C52:C52"/>
    </x:sheetView>
  </x:sheetViews>
  <x:sheetFormatPr defaultColWidth="9.00390625" defaultRowHeight="16.39999999999999857891"/>
  <x:cols>
    <x:col min="1" max="1" width="15" customWidth="1"/>
    <x:col min="2" max="2" width="12" customWidth="1"/>
    <x:col min="3" max="3" width="19.5" customWidth="1"/>
    <x:col min="4" max="6" width="8" customWidth="1"/>
    <x:col min="7" max="7" width="10" customWidth="1"/>
  </x:cols>
  <x:sheetData>
    <x:row r="1" spans="1:7">
      <x:c r="A1" s="1" t="s">
        <x:v>35</x:v>
      </x:c>
      <x:c r="B1" s="1" t="s">
        <x:v>30</x:v>
      </x:c>
      <x:c r="C1" s="1" t="s">
        <x:v>0</x:v>
      </x:c>
      <x:c r="D1" s="24" t="s">
        <x:v>19</x:v>
      </x:c>
      <x:c r="E1" s="24" t="s">
        <x:v>26</x:v>
      </x:c>
      <x:c r="F1" s="24" t="s">
        <x:v>32</x:v>
      </x:c>
      <x:c r="G1" s="1" t="s">
        <x:v>36</x:v>
      </x:c>
    </x:row>
    <x:row r="2" spans="1:7" ht="16.75">
      <x:c r="A2" s="19"/>
      <x:c r="B2" s="14" t="s">
        <x:v>33</x:v>
      </x:c>
      <x:c r="C2" s="23"/>
      <x:c r="D2" s="23"/>
      <x:c r="E2" s="23"/>
      <x:c r="F2" s="23"/>
      <x:c r="G2" s="15" t="s">
        <x:v>39</x:v>
      </x:c>
    </x:row>
    <x:row r="3" spans="1:7">
      <x:c r="A3" s="20"/>
      <x:c r="B3" s="2" t="s">
        <x:v>56</x:v>
      </x:c>
      <x:c r="C3" s="9"/>
      <x:c r="D3" s="9"/>
      <x:c r="E3" s="9"/>
      <x:c r="F3" s="9"/>
      <x:c r="G3" s="16" t="s">
        <x:v>39</x:v>
      </x:c>
    </x:row>
    <x:row r="4" spans="1:7">
      <x:c r="A4" s="20"/>
      <x:c r="B4" s="2" t="s">
        <x:v>34</x:v>
      </x:c>
      <x:c r="C4" s="9"/>
      <x:c r="D4" s="9"/>
      <x:c r="E4" s="9"/>
      <x:c r="F4" s="9"/>
      <x:c r="G4" s="16" t="s">
        <x:v>39</x:v>
      </x:c>
    </x:row>
    <x:row r="5" spans="1:7">
      <x:c r="A5" s="20"/>
      <x:c r="B5" s="2" t="s">
        <x:v>25</x:v>
      </x:c>
      <x:c r="C5" s="9"/>
      <x:c r="D5" s="9"/>
      <x:c r="E5" s="9"/>
      <x:c r="F5" s="9"/>
      <x:c r="G5" s="16" t="s">
        <x:v>39</x:v>
      </x:c>
    </x:row>
    <x:row r="6" spans="1:7" ht="16.75">
      <x:c r="A6" s="21"/>
      <x:c r="B6" s="12" t="s">
        <x:v>72</x:v>
      </x:c>
      <x:c r="C6" s="13"/>
      <x:c r="D6" s="13"/>
      <x:c r="E6" s="13"/>
      <x:c r="F6" s="13"/>
      <x:c r="G6" s="17" t="s">
        <x:v>39</x:v>
      </x:c>
    </x:row>
    <x:row r="7" spans="1:7">
      <x:c r="A7" s="22"/>
      <x:c r="B7" s="10" t="s">
        <x:v>33</x:v>
      </x:c>
      <x:c r="C7" s="11"/>
      <x:c r="D7" s="11"/>
      <x:c r="E7" s="11"/>
      <x:c r="F7" s="11"/>
      <x:c r="G7" s="18" t="s">
        <x:v>54</x:v>
      </x:c>
    </x:row>
    <x:row r="8" spans="1:7">
      <x:c r="A8" s="20"/>
      <x:c r="B8" s="2" t="s">
        <x:v>56</x:v>
      </x:c>
      <x:c r="C8" s="9"/>
      <x:c r="D8" s="9"/>
      <x:c r="E8" s="9"/>
      <x:c r="F8" s="9"/>
      <x:c r="G8" s="16" t="s">
        <x:v>54</x:v>
      </x:c>
    </x:row>
    <x:row r="9" spans="1:7">
      <x:c r="A9" s="20"/>
      <x:c r="B9" s="2" t="s">
        <x:v>34</x:v>
      </x:c>
      <x:c r="C9" s="9"/>
      <x:c r="D9" s="9"/>
      <x:c r="E9" s="9"/>
      <x:c r="F9" s="9"/>
      <x:c r="G9" s="16" t="s">
        <x:v>54</x:v>
      </x:c>
    </x:row>
    <x:row r="10" spans="1:7">
      <x:c r="A10" s="20"/>
      <x:c r="B10" s="2" t="s">
        <x:v>25</x:v>
      </x:c>
      <x:c r="C10" s="9"/>
      <x:c r="D10" s="9"/>
      <x:c r="E10" s="9"/>
      <x:c r="F10" s="9"/>
      <x:c r="G10" s="16" t="s">
        <x:v>54</x:v>
      </x:c>
    </x:row>
    <x:row r="11" spans="1:7" ht="16.75">
      <x:c r="A11" s="21"/>
      <x:c r="B11" s="12" t="s">
        <x:v>72</x:v>
      </x:c>
      <x:c r="C11" s="13"/>
      <x:c r="D11" s="13"/>
      <x:c r="E11" s="13"/>
      <x:c r="F11" s="13"/>
      <x:c r="G11" s="17" t="s">
        <x:v>54</x:v>
      </x:c>
    </x:row>
    <x:row r="17" spans="1:7">
      <x:c r="A17" s="1" t="s">
        <x:v>35</x:v>
      </x:c>
      <x:c r="B17" s="1" t="s">
        <x:v>30</x:v>
      </x:c>
      <x:c r="C17" s="1" t="s">
        <x:v>0</x:v>
      </x:c>
      <x:c r="D17" s="24" t="s">
        <x:v>19</x:v>
      </x:c>
      <x:c r="E17" s="24" t="s">
        <x:v>26</x:v>
      </x:c>
      <x:c r="F17" s="24" t="s">
        <x:v>32</x:v>
      </x:c>
      <x:c r="G17" s="1" t="s">
        <x:v>36</x:v>
      </x:c>
    </x:row>
    <x:row r="18" spans="1:7" ht="16.75">
      <x:c r="A18" s="19" t="s">
        <x:v>61</x:v>
      </x:c>
      <x:c r="B18" s="14" t="s">
        <x:v>33</x:v>
      </x:c>
      <x:c r="C18" s="23" t="s">
        <x:v>170</x:v>
      </x:c>
      <x:c r="D18" s="23">
        <x:v>7</x:v>
      </x:c>
      <x:c r="E18" s="23">
        <x:v>2</x:v>
      </x:c>
      <x:c r="F18" s="23">
        <x:v>2</x:v>
      </x:c>
      <x:c r="G18" s="15" t="s">
        <x:v>39</x:v>
      </x:c>
    </x:row>
    <x:row r="19" spans="1:7">
      <x:c r="A19" s="20" t="s">
        <x:v>22</x:v>
      </x:c>
      <x:c r="B19" s="2" t="s">
        <x:v>56</x:v>
      </x:c>
      <x:c r="C19" s="9" t="s">
        <x:v>101</x:v>
      </x:c>
      <x:c r="D19" s="9">
        <x:v>14</x:v>
      </x:c>
      <x:c r="E19" s="9">
        <x:v>0</x:v>
      </x:c>
      <x:c r="F19" s="9">
        <x:v>8</x:v>
      </x:c>
      <x:c r="G19" s="16" t="s">
        <x:v>39</x:v>
      </x:c>
    </x:row>
    <x:row r="20" spans="1:7">
      <x:c r="A20" s="20" t="s">
        <x:v>73</x:v>
      </x:c>
      <x:c r="B20" s="2" t="s">
        <x:v>34</x:v>
      </x:c>
      <x:c r="C20" s="9" t="s">
        <x:v>52</x:v>
      </x:c>
      <x:c r="D20" s="9">
        <x:v>3</x:v>
      </x:c>
      <x:c r="E20" s="9">
        <x:v>2</x:v>
      </x:c>
      <x:c r="F20" s="9">
        <x:v>10</x:v>
      </x:c>
      <x:c r="G20" s="16" t="s">
        <x:v>39</x:v>
      </x:c>
    </x:row>
    <x:row r="21" spans="1:7">
      <x:c r="A21" s="20" t="s">
        <x:v>57</x:v>
      </x:c>
      <x:c r="B21" s="2" t="s">
        <x:v>25</x:v>
      </x:c>
      <x:c r="C21" s="9" t="s">
        <x:v>87</x:v>
      </x:c>
      <x:c r="D21" s="9">
        <x:v>20</x:v>
      </x:c>
      <x:c r="E21" s="9">
        <x:v>4</x:v>
      </x:c>
      <x:c r="F21" s="9">
        <x:v>9</x:v>
      </x:c>
      <x:c r="G21" s="16" t="s">
        <x:v>39</x:v>
      </x:c>
    </x:row>
    <x:row r="22" spans="1:7" ht="16.75">
      <x:c r="A22" s="21" t="s">
        <x:v>75</x:v>
      </x:c>
      <x:c r="B22" s="12" t="s">
        <x:v>72</x:v>
      </x:c>
      <x:c r="C22" s="13" t="s">
        <x:v>82</x:v>
      </x:c>
      <x:c r="D22" s="13">
        <x:v>6</x:v>
      </x:c>
      <x:c r="E22" s="13">
        <x:v>6</x:v>
      </x:c>
      <x:c r="F22" s="13">
        <x:v>24</x:v>
      </x:c>
      <x:c r="G22" s="17" t="s">
        <x:v>39</x:v>
      </x:c>
    </x:row>
    <x:row r="23" spans="1:7">
      <x:c r="A23" s="22" t="s">
        <x:v>44</x:v>
      </x:c>
      <x:c r="B23" s="10" t="s">
        <x:v>33</x:v>
      </x:c>
      <x:c r="C23" s="11" t="s">
        <x:v>63</x:v>
      </x:c>
      <x:c r="D23" s="11">
        <x:v>1</x:v>
      </x:c>
      <x:c r="E23" s="11">
        <x:v>10</x:v>
      </x:c>
      <x:c r="F23" s="11">
        <x:v>0</x:v>
      </x:c>
      <x:c r="G23" s="18" t="s">
        <x:v>54</x:v>
      </x:c>
    </x:row>
    <x:row r="24" spans="1:7">
      <x:c r="A24" s="20" t="s">
        <x:v>47</x:v>
      </x:c>
      <x:c r="B24" s="2" t="s">
        <x:v>56</x:v>
      </x:c>
      <x:c r="C24" s="9" t="s">
        <x:v>68</x:v>
      </x:c>
      <x:c r="D24" s="9">
        <x:v>8</x:v>
      </x:c>
      <x:c r="E24" s="9">
        <x:v>8</x:v>
      </x:c>
      <x:c r="F24" s="9">
        <x:v>2</x:v>
      </x:c>
      <x:c r="G24" s="16" t="s">
        <x:v>54</x:v>
      </x:c>
    </x:row>
    <x:row r="25" spans="1:7">
      <x:c r="A25" s="20" t="s">
        <x:v>62</x:v>
      </x:c>
      <x:c r="B25" s="2" t="s">
        <x:v>34</x:v>
      </x:c>
      <x:c r="C25" s="9" t="s">
        <x:v>40</x:v>
      </x:c>
      <x:c r="D25" s="9">
        <x:v>2</x:v>
      </x:c>
      <x:c r="E25" s="9">
        <x:v>10</x:v>
      </x:c>
      <x:c r="F25" s="9">
        <x:v>5</x:v>
      </x:c>
      <x:c r="G25" s="16" t="s">
        <x:v>54</x:v>
      </x:c>
    </x:row>
    <x:row r="26" spans="1:7">
      <x:c r="A26" s="20" t="s">
        <x:v>70</x:v>
      </x:c>
      <x:c r="B26" s="2" t="s">
        <x:v>25</x:v>
      </x:c>
      <x:c r="C26" s="9" t="s">
        <x:v>69</x:v>
      </x:c>
      <x:c r="D26" s="9">
        <x:v>1</x:v>
      </x:c>
      <x:c r="E26" s="9">
        <x:v>12</x:v>
      </x:c>
      <x:c r="F26" s="9">
        <x:v>3</x:v>
      </x:c>
      <x:c r="G26" s="16" t="s">
        <x:v>54</x:v>
      </x:c>
    </x:row>
    <x:row r="27" spans="1:7" ht="16.75">
      <x:c r="A27" s="21" t="s">
        <x:v>24</x:v>
      </x:c>
      <x:c r="B27" s="12" t="s">
        <x:v>72</x:v>
      </x:c>
      <x:c r="C27" s="13" t="s">
        <x:v>93</x:v>
      </x:c>
      <x:c r="D27" s="13">
        <x:v>2</x:v>
      </x:c>
      <x:c r="E27" s="13">
        <x:v>10</x:v>
      </x:c>
      <x:c r="F27" s="13">
        <x:v>7</x:v>
      </x:c>
      <x:c r="G27" s="17" t="s">
        <x:v>54</x:v>
      </x:c>
    </x:row>
    <x:row r="29" spans="1:7">
      <x:c r="A29" s="1" t="s">
        <x:v>35</x:v>
      </x:c>
      <x:c r="B29" s="1" t="s">
        <x:v>30</x:v>
      </x:c>
      <x:c r="C29" s="1" t="s">
        <x:v>0</x:v>
      </x:c>
      <x:c r="D29" s="24" t="s">
        <x:v>19</x:v>
      </x:c>
      <x:c r="E29" s="24" t="s">
        <x:v>26</x:v>
      </x:c>
      <x:c r="F29" s="24" t="s">
        <x:v>32</x:v>
      </x:c>
      <x:c r="G29" s="1" t="s">
        <x:v>36</x:v>
      </x:c>
    </x:row>
    <x:row r="30" spans="1:7" ht="16.75">
      <x:c r="A30" s="22" t="s">
        <x:v>44</x:v>
      </x:c>
      <x:c r="B30" s="14" t="s">
        <x:v>33</x:v>
      </x:c>
      <x:c r="C30" s="23" t="s">
        <x:v>77</x:v>
      </x:c>
      <x:c r="D30" s="23">
        <x:v>5</x:v>
      </x:c>
      <x:c r="E30" s="23">
        <x:v>8</x:v>
      </x:c>
      <x:c r="F30" s="23">
        <x:v>3</x:v>
      </x:c>
      <x:c r="G30" s="15" t="s">
        <x:v>39</x:v>
      </x:c>
    </x:row>
    <x:row r="31" spans="1:7">
      <x:c r="A31" s="20" t="s">
        <x:v>47</x:v>
      </x:c>
      <x:c r="B31" s="2" t="s">
        <x:v>56</x:v>
      </x:c>
      <x:c r="C31" s="9" t="s">
        <x:v>92</x:v>
      </x:c>
      <x:c r="D31" s="9">
        <x:v>11</x:v>
      </x:c>
      <x:c r="E31" s="9">
        <x:v>2</x:v>
      </x:c>
      <x:c r="F31" s="9">
        <x:v>10</x:v>
      </x:c>
      <x:c r="G31" s="16" t="s">
        <x:v>39</x:v>
      </x:c>
    </x:row>
    <x:row r="32" spans="1:7">
      <x:c r="A32" s="20" t="s">
        <x:v>62</x:v>
      </x:c>
      <x:c r="B32" s="2" t="s">
        <x:v>34</x:v>
      </x:c>
      <x:c r="C32" s="9" t="s">
        <x:v>110</x:v>
      </x:c>
      <x:c r="D32" s="9">
        <x:v>4</x:v>
      </x:c>
      <x:c r="E32" s="9">
        <x:v>4</x:v>
      </x:c>
      <x:c r="F32" s="9">
        <x:v>8</x:v>
      </x:c>
      <x:c r="G32" s="16" t="s">
        <x:v>39</x:v>
      </x:c>
    </x:row>
    <x:row r="33" spans="1:7">
      <x:c r="A33" s="20" t="s">
        <x:v>70</x:v>
      </x:c>
      <x:c r="B33" s="2" t="s">
        <x:v>25</x:v>
      </x:c>
      <x:c r="C33" s="9" t="s">
        <x:v>111</x:v>
      </x:c>
      <x:c r="D33" s="9">
        <x:v>6</x:v>
      </x:c>
      <x:c r="E33" s="9">
        <x:v>0</x:v>
      </x:c>
      <x:c r="F33" s="9">
        <x:v>10</x:v>
      </x:c>
      <x:c r="G33" s="16" t="s">
        <x:v>39</x:v>
      </x:c>
    </x:row>
    <x:row r="34" spans="1:7" ht="16.75">
      <x:c r="A34" s="21" t="s">
        <x:v>24</x:v>
      </x:c>
      <x:c r="B34" s="12" t="s">
        <x:v>72</x:v>
      </x:c>
      <x:c r="C34" s="13" t="s">
        <x:v>51</x:v>
      </x:c>
      <x:c r="D34" s="13">
        <x:v>0</x:v>
      </x:c>
      <x:c r="E34" s="13">
        <x:v>0</x:v>
      </x:c>
      <x:c r="F34" s="13">
        <x:v>17</x:v>
      </x:c>
      <x:c r="G34" s="17" t="s">
        <x:v>39</x:v>
      </x:c>
    </x:row>
    <x:row r="35" spans="1:7" ht="16.75">
      <x:c r="A35" s="19" t="s">
        <x:v>75</x:v>
      </x:c>
      <x:c r="B35" s="10" t="s">
        <x:v>33</x:v>
      </x:c>
      <x:c r="C35" s="11" t="s">
        <x:v>79</x:v>
      </x:c>
      <x:c r="D35" s="11">
        <x:v>3</x:v>
      </x:c>
      <x:c r="E35" s="11">
        <x:v>8</x:v>
      </x:c>
      <x:c r="F35" s="11">
        <x:v>4</x:v>
      </x:c>
      <x:c r="G35" s="18" t="s">
        <x:v>54</x:v>
      </x:c>
    </x:row>
    <x:row r="36" spans="1:7">
      <x:c r="A36" s="20" t="s">
        <x:v>22</x:v>
      </x:c>
      <x:c r="B36" s="2" t="s">
        <x:v>56</x:v>
      </x:c>
      <x:c r="C36" s="9" t="s">
        <x:v>174</x:v>
      </x:c>
      <x:c r="D36" s="9">
        <x:v>6</x:v>
      </x:c>
      <x:c r="E36" s="9">
        <x:v>4</x:v>
      </x:c>
      <x:c r="F36" s="9">
        <x:v>3</x:v>
      </x:c>
      <x:c r="G36" s="16" t="s">
        <x:v>54</x:v>
      </x:c>
    </x:row>
    <x:row r="37" spans="1:7">
      <x:c r="A37" s="20" t="s">
        <x:v>73</x:v>
      </x:c>
      <x:c r="B37" s="2" t="s">
        <x:v>34</x:v>
      </x:c>
      <x:c r="C37" s="9" t="s">
        <x:v>53</x:v>
      </x:c>
      <x:c r="D37" s="9">
        <x:v>5</x:v>
      </x:c>
      <x:c r="E37" s="9">
        <x:v>3</x:v>
      </x:c>
      <x:c r="F37" s="9">
        <x:v>1</x:v>
      </x:c>
      <x:c r="G37" s="16" t="s">
        <x:v>54</x:v>
      </x:c>
    </x:row>
    <x:row r="38" spans="1:7">
      <x:c r="A38" s="20" t="s">
        <x:v>57</x:v>
      </x:c>
      <x:c r="B38" s="2" t="s">
        <x:v>25</x:v>
      </x:c>
      <x:c r="C38" s="9" t="s">
        <x:v>102</x:v>
      </x:c>
      <x:c r="D38" s="9">
        <x:v>0</x:v>
      </x:c>
      <x:c r="E38" s="9">
        <x:v>5</x:v>
      </x:c>
      <x:c r="F38" s="9">
        <x:v>1</x:v>
      </x:c>
      <x:c r="G38" s="16" t="s">
        <x:v>54</x:v>
      </x:c>
    </x:row>
    <x:row r="39" spans="1:7" ht="16.75">
      <x:c r="A39" s="21" t="s">
        <x:v>61</x:v>
      </x:c>
      <x:c r="B39" s="12" t="s">
        <x:v>72</x:v>
      </x:c>
      <x:c r="C39" s="13" t="s">
        <x:v>157</x:v>
      </x:c>
      <x:c r="D39" s="13">
        <x:v>0</x:v>
      </x:c>
      <x:c r="E39" s="13">
        <x:v>6</x:v>
      </x:c>
      <x:c r="F39" s="13">
        <x:v>0</x:v>
      </x:c>
      <x:c r="G39" s="17" t="s">
        <x:v>54</x:v>
      </x:c>
    </x:row>
    <x:row r="41" spans="1:7">
      <x:c r="A41" s="1" t="s">
        <x:v>35</x:v>
      </x:c>
      <x:c r="B41" s="1" t="s">
        <x:v>30</x:v>
      </x:c>
      <x:c r="C41" s="1" t="s">
        <x:v>0</x:v>
      </x:c>
      <x:c r="D41" s="24" t="s">
        <x:v>19</x:v>
      </x:c>
      <x:c r="E41" s="24" t="s">
        <x:v>26</x:v>
      </x:c>
      <x:c r="F41" s="24" t="s">
        <x:v>32</x:v>
      </x:c>
      <x:c r="G41" s="1" t="s">
        <x:v>36</x:v>
      </x:c>
    </x:row>
    <x:row r="42" spans="1:7" ht="16.75">
      <x:c r="A42" s="19" t="s">
        <x:v>75</x:v>
      </x:c>
      <x:c r="B42" s="14" t="s">
        <x:v>33</x:v>
      </x:c>
      <x:c r="C42" s="23" t="s">
        <x:v>81</x:v>
      </x:c>
      <x:c r="D42" s="23">
        <x:v>8</x:v>
      </x:c>
      <x:c r="E42" s="23">
        <x:v>2</x:v>
      </x:c>
      <x:c r="F42" s="23">
        <x:v>2</x:v>
      </x:c>
      <x:c r="G42" s="15" t="s">
        <x:v>39</x:v>
      </x:c>
    </x:row>
    <x:row r="43" spans="1:7">
      <x:c r="A43" s="20" t="s">
        <x:v>22</x:v>
      </x:c>
      <x:c r="B43" s="2" t="s">
        <x:v>56</x:v>
      </x:c>
      <x:c r="C43" s="9" t="s">
        <x:v>117</x:v>
      </x:c>
      <x:c r="D43" s="9">
        <x:v>3</x:v>
      </x:c>
      <x:c r="E43" s="9">
        <x:v>2</x:v>
      </x:c>
      <x:c r="F43" s="9">
        <x:v>7</x:v>
      </x:c>
      <x:c r="G43" s="16" t="s">
        <x:v>39</x:v>
      </x:c>
    </x:row>
    <x:row r="44" spans="1:7">
      <x:c r="A44" s="20" t="s">
        <x:v>73</x:v>
      </x:c>
      <x:c r="B44" s="2" t="s">
        <x:v>34</x:v>
      </x:c>
      <x:c r="C44" s="9" t="s">
        <x:v>64</x:v>
      </x:c>
      <x:c r="D44" s="9">
        <x:v>8</x:v>
      </x:c>
      <x:c r="E44" s="9">
        <x:v>1</x:v>
      </x:c>
      <x:c r="F44" s="9">
        <x:v>0</x:v>
      </x:c>
      <x:c r="G44" s="16" t="s">
        <x:v>39</x:v>
      </x:c>
    </x:row>
    <x:row r="45" spans="1:7">
      <x:c r="A45" s="20" t="s">
        <x:v>57</x:v>
      </x:c>
      <x:c r="B45" s="2" t="s">
        <x:v>25</x:v>
      </x:c>
      <x:c r="C45" s="9" t="s">
        <x:v>96</x:v>
      </x:c>
      <x:c r="D45" s="9">
        <x:v>7</x:v>
      </x:c>
      <x:c r="E45" s="9">
        <x:v>0</x:v>
      </x:c>
      <x:c r="F45" s="9">
        <x:v>1</x:v>
      </x:c>
      <x:c r="G45" s="16" t="s">
        <x:v>39</x:v>
      </x:c>
    </x:row>
    <x:row r="46" spans="1:7" ht="16.75">
      <x:c r="A46" s="21" t="s">
        <x:v>61</x:v>
      </x:c>
      <x:c r="B46" s="12" t="s">
        <x:v>72</x:v>
      </x:c>
      <x:c r="C46" s="13" t="s">
        <x:v>120</x:v>
      </x:c>
      <x:c r="D46" s="13">
        <x:v>0</x:v>
      </x:c>
      <x:c r="E46" s="13">
        <x:v>1</x:v>
      </x:c>
      <x:c r="F46" s="13">
        <x:v>8</x:v>
      </x:c>
      <x:c r="G46" s="17" t="s">
        <x:v>39</x:v>
      </x:c>
    </x:row>
    <x:row r="47" spans="1:7">
      <x:c r="A47" s="22" t="s">
        <x:v>44</x:v>
      </x:c>
      <x:c r="B47" s="10" t="s">
        <x:v>33</x:v>
      </x:c>
      <x:c r="C47" s="11" t="s">
        <x:v>165</x:v>
      </x:c>
      <x:c r="D47" s="11">
        <x:v>1</x:v>
      </x:c>
      <x:c r="E47" s="11">
        <x:v>9</x:v>
      </x:c>
      <x:c r="F47" s="11">
        <x:v>2</x:v>
      </x:c>
      <x:c r="G47" s="18" t="s">
        <x:v>54</x:v>
      </x:c>
    </x:row>
    <x:row r="48" spans="1:7">
      <x:c r="A48" s="20" t="s">
        <x:v>47</x:v>
      </x:c>
      <x:c r="B48" s="2" t="s">
        <x:v>56</x:v>
      </x:c>
      <x:c r="C48" s="9" t="s">
        <x:v>89</x:v>
      </x:c>
      <x:c r="D48" s="9">
        <x:v>4</x:v>
      </x:c>
      <x:c r="E48" s="9">
        <x:v>4</x:v>
      </x:c>
      <x:c r="F48" s="9">
        <x:v>1</x:v>
      </x:c>
      <x:c r="G48" s="16" t="s">
        <x:v>54</x:v>
      </x:c>
    </x:row>
    <x:row r="49" spans="1:7">
      <x:c r="A49" s="20" t="s">
        <x:v>62</x:v>
      </x:c>
      <x:c r="B49" s="2" t="s">
        <x:v>34</x:v>
      </x:c>
      <x:c r="C49" s="9" t="s">
        <x:v>46</x:v>
      </x:c>
      <x:c r="D49" s="9">
        <x:v>1</x:v>
      </x:c>
      <x:c r="E49" s="9">
        <x:v>7</x:v>
      </x:c>
      <x:c r="F49" s="9">
        <x:v>2</x:v>
      </x:c>
      <x:c r="G49" s="16" t="s">
        <x:v>54</x:v>
      </x:c>
    </x:row>
    <x:row r="50" spans="1:7">
      <x:c r="A50" s="20" t="s">
        <x:v>70</x:v>
      </x:c>
      <x:c r="B50" s="2" t="s">
        <x:v>25</x:v>
      </x:c>
      <x:c r="C50" s="9" t="s">
        <x:v>144</x:v>
      </x:c>
      <x:c r="D50" s="9">
        <x:v>0</x:v>
      </x:c>
      <x:c r="E50" s="9">
        <x:v>4</x:v>
      </x:c>
      <x:c r="F50" s="9">
        <x:v>1</x:v>
      </x:c>
      <x:c r="G50" s="16" t="s">
        <x:v>54</x:v>
      </x:c>
    </x:row>
    <x:row r="51" spans="1:7" ht="16.75">
      <x:c r="A51" s="21" t="s">
        <x:v>24</x:v>
      </x:c>
      <x:c r="B51" s="12" t="s">
        <x:v>72</x:v>
      </x:c>
      <x:c r="C51" s="13" t="s">
        <x:v>145</x:v>
      </x:c>
      <x:c r="D51" s="13">
        <x:v>0</x:v>
      </x:c>
      <x:c r="E51" s="13">
        <x:v>2</x:v>
      </x:c>
      <x:c r="F51" s="13">
        <x:v>0</x:v>
      </x:c>
      <x:c r="G51" s="17" t="s">
        <x:v>54</x:v>
      </x:c>
    </x:row>
    <x:row r="53" spans="1:7">
      <x:c r="A53" s="1" t="s">
        <x:v>35</x:v>
      </x:c>
      <x:c r="B53" s="1" t="s">
        <x:v>30</x:v>
      </x:c>
      <x:c r="C53" s="1" t="s">
        <x:v>0</x:v>
      </x:c>
      <x:c r="D53" s="24" t="s">
        <x:v>19</x:v>
      </x:c>
      <x:c r="E53" s="24" t="s">
        <x:v>26</x:v>
      </x:c>
      <x:c r="F53" s="24" t="s">
        <x:v>32</x:v>
      </x:c>
      <x:c r="G53" s="1" t="s">
        <x:v>36</x:v>
      </x:c>
    </x:row>
    <x:row r="54" spans="1:7" ht="16.75">
      <x:c r="A54" s="19" t="s">
        <x:v>60</x:v>
      </x:c>
      <x:c r="B54" s="14" t="s">
        <x:v>33</x:v>
      </x:c>
      <x:c r="C54" s="23" t="s">
        <x:v>97</x:v>
      </x:c>
      <x:c r="D54" s="23">
        <x:v>4</x:v>
      </x:c>
      <x:c r="E54" s="23">
        <x:v>4</x:v>
      </x:c>
      <x:c r="F54" s="23">
        <x:v>9</x:v>
      </x:c>
      <x:c r="G54" s="15" t="s">
        <x:v>39</x:v>
      </x:c>
    </x:row>
    <x:row r="55" spans="1:7">
      <x:c r="A55" s="20" t="s">
        <x:v>20</x:v>
      </x:c>
      <x:c r="B55" s="2" t="s">
        <x:v>56</x:v>
      </x:c>
      <x:c r="C55" s="9" t="s">
        <x:v>188</x:v>
      </x:c>
      <x:c r="D55" s="9">
        <x:v>4</x:v>
      </x:c>
      <x:c r="E55" s="9">
        <x:v>6</x:v>
      </x:c>
      <x:c r="F55" s="9">
        <x:v>4</x:v>
      </x:c>
      <x:c r="G55" s="16" t="s">
        <x:v>39</x:v>
      </x:c>
    </x:row>
    <x:row r="56" spans="1:7">
      <x:c r="A56" s="20" t="s">
        <x:v>78</x:v>
      </x:c>
      <x:c r="B56" s="2" t="s">
        <x:v>34</x:v>
      </x:c>
      <x:c r="C56" s="9" t="s">
        <x:v>83</x:v>
      </x:c>
      <x:c r="D56" s="9">
        <x:v>2</x:v>
      </x:c>
      <x:c r="E56" s="9">
        <x:v>4</x:v>
      </x:c>
      <x:c r="F56" s="9">
        <x:v>6</x:v>
      </x:c>
      <x:c r="G56" s="16" t="s">
        <x:v>39</x:v>
      </x:c>
    </x:row>
    <x:row r="57" spans="1:7">
      <x:c r="A57" s="20" t="s">
        <x:v>90</x:v>
      </x:c>
      <x:c r="B57" s="2" t="s">
        <x:v>25</x:v>
      </x:c>
      <x:c r="C57" s="9" t="s">
        <x:v>168</x:v>
      </x:c>
      <x:c r="D57" s="9">
        <x:v>15</x:v>
      </x:c>
      <x:c r="E57" s="9">
        <x:v>3</x:v>
      </x:c>
      <x:c r="F57" s="9">
        <x:v>5</x:v>
      </x:c>
      <x:c r="G57" s="16" t="s">
        <x:v>39</x:v>
      </x:c>
    </x:row>
    <x:row r="58" spans="1:7" ht="16.75">
      <x:c r="A58" s="21" t="s">
        <x:v>71</x:v>
      </x:c>
      <x:c r="B58" s="12" t="s">
        <x:v>72</x:v>
      </x:c>
      <x:c r="C58" s="13" t="s">
        <x:v>74</x:v>
      </x:c>
      <x:c r="D58" s="13">
        <x:v>3</x:v>
      </x:c>
      <x:c r="E58" s="13">
        <x:v>1</x:v>
      </x:c>
      <x:c r="F58" s="13">
        <x:v>13</x:v>
      </x:c>
      <x:c r="G58" s="17" t="s">
        <x:v>39</x:v>
      </x:c>
    </x:row>
    <x:row r="59" spans="1:7">
      <x:c r="A59" s="22" t="s">
        <x:v>28</x:v>
      </x:c>
      <x:c r="B59" s="10" t="s">
        <x:v>33</x:v>
      </x:c>
      <x:c r="C59" s="11" t="s">
        <x:v>65</x:v>
      </x:c>
      <x:c r="D59" s="11">
        <x:v>2</x:v>
      </x:c>
      <x:c r="E59" s="11">
        <x:v>6</x:v>
      </x:c>
      <x:c r="F59" s="11">
        <x:v>3</x:v>
      </x:c>
      <x:c r="G59" s="18" t="s">
        <x:v>54</x:v>
      </x:c>
    </x:row>
    <x:row r="60" spans="1:7">
      <x:c r="A60" s="20" t="s">
        <x:v>21</x:v>
      </x:c>
      <x:c r="B60" s="2" t="s">
        <x:v>56</x:v>
      </x:c>
      <x:c r="C60" s="9" t="s">
        <x:v>102</x:v>
      </x:c>
      <x:c r="D60" s="9">
        <x:v>13</x:v>
      </x:c>
      <x:c r="E60" s="9">
        <x:v>5</x:v>
      </x:c>
      <x:c r="F60" s="9">
        <x:v>3</x:v>
      </x:c>
      <x:c r="G60" s="16" t="s">
        <x:v>54</x:v>
      </x:c>
    </x:row>
    <x:row r="61" spans="1:7">
      <x:c r="A61" s="20" t="s">
        <x:v>55</x:v>
      </x:c>
      <x:c r="B61" s="2" t="s">
        <x:v>34</x:v>
      </x:c>
      <x:c r="C61" s="9" t="s">
        <x:v>106</x:v>
      </x:c>
      <x:c r="D61" s="9">
        <x:v>2</x:v>
      </x:c>
      <x:c r="E61" s="9">
        <x:v>5</x:v>
      </x:c>
      <x:c r="F61" s="9">
        <x:v>8</x:v>
      </x:c>
      <x:c r="G61" s="16" t="s">
        <x:v>54</x:v>
      </x:c>
    </x:row>
    <x:row r="62" spans="1:7">
      <x:c r="A62" s="20" t="s">
        <x:v>50</x:v>
      </x:c>
      <x:c r="B62" s="2" t="s">
        <x:v>25</x:v>
      </x:c>
      <x:c r="C62" s="9" t="s">
        <x:v>159</x:v>
      </x:c>
      <x:c r="D62" s="9">
        <x:v>1</x:v>
      </x:c>
      <x:c r="E62" s="9">
        <x:v>4</x:v>
      </x:c>
      <x:c r="F62" s="9">
        <x:v>2</x:v>
      </x:c>
      <x:c r="G62" s="16" t="s">
        <x:v>54</x:v>
      </x:c>
    </x:row>
    <x:row r="63" spans="1:7" ht="16.75">
      <x:c r="A63" s="21" t="s">
        <x:v>58</x:v>
      </x:c>
      <x:c r="B63" s="12" t="s">
        <x:v>72</x:v>
      </x:c>
      <x:c r="C63" s="13" t="s">
        <x:v>84</x:v>
      </x:c>
      <x:c r="D63" s="13">
        <x:v>0</x:v>
      </x:c>
      <x:c r="E63" s="13">
        <x:v>8</x:v>
      </x:c>
      <x:c r="F63" s="13">
        <x:v>4</x:v>
      </x:c>
      <x:c r="G63" s="17" t="s">
        <x:v>54</x:v>
      </x:c>
    </x:row>
    <x:row r="65" spans="1:7">
      <x:c r="A65" s="1" t="s">
        <x:v>35</x:v>
      </x:c>
      <x:c r="B65" s="1" t="s">
        <x:v>30</x:v>
      </x:c>
      <x:c r="C65" s="1" t="s">
        <x:v>0</x:v>
      </x:c>
      <x:c r="D65" s="24" t="s">
        <x:v>19</x:v>
      </x:c>
      <x:c r="E65" s="24" t="s">
        <x:v>26</x:v>
      </x:c>
      <x:c r="F65" s="24" t="s">
        <x:v>32</x:v>
      </x:c>
      <x:c r="G65" s="1" t="s">
        <x:v>36</x:v>
      </x:c>
    </x:row>
    <x:row r="66" spans="1:7" ht="16.75">
      <x:c r="A66" s="19" t="s">
        <x:v>60</x:v>
      </x:c>
      <x:c r="B66" s="14" t="s">
        <x:v>33</x:v>
      </x:c>
      <x:c r="C66" s="23" t="s">
        <x:v>170</x:v>
      </x:c>
      <x:c r="D66" s="23">
        <x:v>8</x:v>
      </x:c>
      <x:c r="E66" s="23">
        <x:v>2</x:v>
      </x:c>
      <x:c r="F66" s="23">
        <x:v>11</x:v>
      </x:c>
      <x:c r="G66" s="15" t="s">
        <x:v>39</x:v>
      </x:c>
    </x:row>
    <x:row r="67" spans="1:7">
      <x:c r="A67" s="20" t="s">
        <x:v>20</x:v>
      </x:c>
      <x:c r="B67" s="2" t="s">
        <x:v>56</x:v>
      </x:c>
      <x:c r="C67" s="9" t="s">
        <x:v>116</x:v>
      </x:c>
      <x:c r="D67" s="9">
        <x:v>6</x:v>
      </x:c>
      <x:c r="E67" s="9">
        <x:v>2</x:v>
      </x:c>
      <x:c r="F67" s="9">
        <x:v>11</x:v>
      </x:c>
      <x:c r="G67" s="16" t="s">
        <x:v>39</x:v>
      </x:c>
    </x:row>
    <x:row r="68" spans="1:7">
      <x:c r="A68" s="20" t="s">
        <x:v>78</x:v>
      </x:c>
      <x:c r="B68" s="2" t="s">
        <x:v>34</x:v>
      </x:c>
      <x:c r="C68" s="9" t="s">
        <x:v>110</x:v>
      </x:c>
      <x:c r="D68" s="9">
        <x:v>4</x:v>
      </x:c>
      <x:c r="E68" s="9">
        <x:v>2</x:v>
      </x:c>
      <x:c r="F68" s="9">
        <x:v>15</x:v>
      </x:c>
      <x:c r="G68" s="16" t="s">
        <x:v>39</x:v>
      </x:c>
    </x:row>
    <x:row r="69" spans="1:7">
      <x:c r="A69" s="20" t="s">
        <x:v>90</x:v>
      </x:c>
      <x:c r="B69" s="2" t="s">
        <x:v>25</x:v>
      </x:c>
      <x:c r="C69" s="9" t="s">
        <x:v>96</x:v>
      </x:c>
      <x:c r="D69" s="9">
        <x:v>9</x:v>
      </x:c>
      <x:c r="E69" s="9">
        <x:v>4</x:v>
      </x:c>
      <x:c r="F69" s="9">
        <x:v>7</x:v>
      </x:c>
      <x:c r="G69" s="16" t="s">
        <x:v>39</x:v>
      </x:c>
    </x:row>
    <x:row r="70" spans="1:7" ht="16.75">
      <x:c r="A70" s="21" t="s">
        <x:v>71</x:v>
      </x:c>
      <x:c r="B70" s="12" t="s">
        <x:v>72</x:v>
      </x:c>
      <x:c r="C70" s="13" t="s">
        <x:v>135</x:v>
      </x:c>
      <x:c r="D70" s="13">
        <x:v>2</x:v>
      </x:c>
      <x:c r="E70" s="13">
        <x:v>2</x:v>
      </x:c>
      <x:c r="F70" s="13">
        <x:v>16</x:v>
      </x:c>
      <x:c r="G70" s="17" t="s">
        <x:v>39</x:v>
      </x:c>
    </x:row>
    <x:row r="71" spans="1:7">
      <x:c r="A71" s="22" t="s">
        <x:v>28</x:v>
      </x:c>
      <x:c r="B71" s="10" t="s">
        <x:v>33</x:v>
      </x:c>
      <x:c r="C71" s="11" t="s">
        <x:v>63</x:v>
      </x:c>
      <x:c r="D71" s="11">
        <x:v>3</x:v>
      </x:c>
      <x:c r="E71" s="11">
        <x:v>10</x:v>
      </x:c>
      <x:c r="F71" s="11">
        <x:v>1</x:v>
      </x:c>
      <x:c r="G71" s="18" t="s">
        <x:v>54</x:v>
      </x:c>
    </x:row>
    <x:row r="72" spans="1:7">
      <x:c r="A72" s="20" t="s">
        <x:v>21</x:v>
      </x:c>
      <x:c r="B72" s="2" t="s">
        <x:v>56</x:v>
      </x:c>
      <x:c r="C72" s="9" t="s">
        <x:v>103</x:v>
      </x:c>
      <x:c r="D72" s="9">
        <x:v>2</x:v>
      </x:c>
      <x:c r="E72" s="9">
        <x:v>6</x:v>
      </x:c>
      <x:c r="F72" s="9">
        <x:v>3</x:v>
      </x:c>
      <x:c r="G72" s="16" t="s">
        <x:v>54</x:v>
      </x:c>
    </x:row>
    <x:row r="73" spans="1:7">
      <x:c r="A73" s="20" t="s">
        <x:v>55</x:v>
      </x:c>
      <x:c r="B73" s="2" t="s">
        <x:v>34</x:v>
      </x:c>
      <x:c r="C73" s="9" t="s">
        <x:v>140</x:v>
      </x:c>
      <x:c r="D73" s="9">
        <x:v>4</x:v>
      </x:c>
      <x:c r="E73" s="9">
        <x:v>6</x:v>
      </x:c>
      <x:c r="F73" s="9">
        <x:v>1</x:v>
      </x:c>
      <x:c r="G73" s="16" t="s">
        <x:v>54</x:v>
      </x:c>
    </x:row>
    <x:row r="74" spans="1:7">
      <x:c r="A74" s="20" t="s">
        <x:v>50</x:v>
      </x:c>
      <x:c r="B74" s="2" t="s">
        <x:v>25</x:v>
      </x:c>
      <x:c r="C74" s="9" t="s">
        <x:v>133</x:v>
      </x:c>
      <x:c r="D74" s="9">
        <x:v>2</x:v>
      </x:c>
      <x:c r="E74" s="9">
        <x:v>4</x:v>
      </x:c>
      <x:c r="F74" s="9">
        <x:v>2</x:v>
      </x:c>
      <x:c r="G74" s="16" t="s">
        <x:v>54</x:v>
      </x:c>
    </x:row>
    <x:row r="75" spans="1:7" ht="16.75">
      <x:c r="A75" s="21" t="s">
        <x:v>58</x:v>
      </x:c>
      <x:c r="B75" s="12" t="s">
        <x:v>72</x:v>
      </x:c>
      <x:c r="C75" s="13" t="s">
        <x:v>145</x:v>
      </x:c>
      <x:c r="D75" s="13">
        <x:v>1</x:v>
      </x:c>
      <x:c r="E75" s="13">
        <x:v>4</x:v>
      </x:c>
      <x:c r="F75" s="13">
        <x:v>4</x:v>
      </x:c>
      <x:c r="G75" s="17" t="s">
        <x:v>54</x:v>
      </x:c>
    </x:row>
    <x:row r="77" spans="1:7">
      <x:c r="A77" s="1" t="s">
        <x:v>35</x:v>
      </x:c>
      <x:c r="B77" s="1" t="s">
        <x:v>30</x:v>
      </x:c>
      <x:c r="C77" s="1" t="s">
        <x:v>0</x:v>
      </x:c>
      <x:c r="D77" s="24" t="s">
        <x:v>19</x:v>
      </x:c>
      <x:c r="E77" s="24" t="s">
        <x:v>26</x:v>
      </x:c>
      <x:c r="F77" s="24" t="s">
        <x:v>32</x:v>
      </x:c>
      <x:c r="G77" s="1" t="s">
        <x:v>36</x:v>
      </x:c>
    </x:row>
    <x:row r="78" spans="1:7" ht="16.75">
      <x:c r="A78" s="19" t="s">
        <x:v>61</x:v>
      </x:c>
      <x:c r="B78" s="14" t="s">
        <x:v>33</x:v>
      </x:c>
      <x:c r="C78" s="23" t="s">
        <x:v>170</x:v>
      </x:c>
      <x:c r="D78" s="23">
        <x:v>9</x:v>
      </x:c>
      <x:c r="E78" s="23">
        <x:v>4</x:v>
      </x:c>
      <x:c r="F78" s="23">
        <x:v>10</x:v>
      </x:c>
      <x:c r="G78" s="15" t="s">
        <x:v>39</x:v>
      </x:c>
    </x:row>
    <x:row r="79" spans="1:7">
      <x:c r="A79" s="20" t="s">
        <x:v>21</x:v>
      </x:c>
      <x:c r="B79" s="2" t="s">
        <x:v>56</x:v>
      </x:c>
      <x:c r="C79" s="9" t="s">
        <x:v>88</x:v>
      </x:c>
      <x:c r="D79" s="9">
        <x:v>9</x:v>
      </x:c>
      <x:c r="E79" s="9">
        <x:v>3</x:v>
      </x:c>
      <x:c r="F79" s="9">
        <x:v>14</x:v>
      </x:c>
      <x:c r="G79" s="16" t="s">
        <x:v>39</x:v>
      </x:c>
    </x:row>
    <x:row r="80" spans="1:7">
      <x:c r="A80" s="20" t="s">
        <x:v>73</x:v>
      </x:c>
      <x:c r="B80" s="2" t="s">
        <x:v>34</x:v>
      </x:c>
      <x:c r="C80" s="9" t="s">
        <x:v>46</x:v>
      </x:c>
      <x:c r="D80" s="9">
        <x:v>11</x:v>
      </x:c>
      <x:c r="E80" s="9">
        <x:v>4</x:v>
      </x:c>
      <x:c r="F80" s="9">
        <x:v>10</x:v>
      </x:c>
      <x:c r="G80" s="16" t="s">
        <x:v>39</x:v>
      </x:c>
    </x:row>
    <x:row r="81" spans="1:7">
      <x:c r="A81" s="20" t="s">
        <x:v>70</x:v>
      </x:c>
      <x:c r="B81" s="2" t="s">
        <x:v>25</x:v>
      </x:c>
      <x:c r="C81" s="9" t="s">
        <x:v>111</x:v>
      </x:c>
      <x:c r="D81" s="9">
        <x:v>5</x:v>
      </x:c>
      <x:c r="E81" s="9">
        <x:v>4</x:v>
      </x:c>
      <x:c r="F81" s="9">
        <x:v>11</x:v>
      </x:c>
      <x:c r="G81" s="16" t="s">
        <x:v>39</x:v>
      </x:c>
    </x:row>
    <x:row r="82" spans="1:7" ht="16.75">
      <x:c r="A82" s="21" t="s">
        <x:v>58</x:v>
      </x:c>
      <x:c r="B82" s="12" t="s">
        <x:v>72</x:v>
      </x:c>
      <x:c r="C82" s="13" t="s">
        <x:v>145</x:v>
      </x:c>
      <x:c r="D82" s="13">
        <x:v>1</x:v>
      </x:c>
      <x:c r="E82" s="13">
        <x:v>5</x:v>
      </x:c>
      <x:c r="F82" s="13">
        <x:v>14</x:v>
      </x:c>
      <x:c r="G82" s="17" t="s">
        <x:v>39</x:v>
      </x:c>
    </x:row>
    <x:row r="83" spans="1:7">
      <x:c r="A83" s="22" t="s">
        <x:v>76</x:v>
      </x:c>
      <x:c r="B83" s="10" t="s">
        <x:v>33</x:v>
      </x:c>
      <x:c r="C83" s="11" t="s">
        <x:v>79</x:v>
      </x:c>
      <x:c r="D83" s="11">
        <x:v>3</x:v>
      </x:c>
      <x:c r="E83" s="11">
        <x:v>8</x:v>
      </x:c>
      <x:c r="F83" s="11">
        <x:v>5</x:v>
      </x:c>
      <x:c r="G83" s="18" t="s">
        <x:v>54</x:v>
      </x:c>
    </x:row>
    <x:row r="84" spans="1:7">
      <x:c r="A84" s="20" t="s">
        <x:v>48</x:v>
      </x:c>
      <x:c r="B84" s="2" t="s">
        <x:v>56</x:v>
      </x:c>
      <x:c r="C84" s="9" t="s">
        <x:v>97</x:v>
      </x:c>
      <x:c r="D84" s="9">
        <x:v>1</x:v>
      </x:c>
      <x:c r="E84" s="9">
        <x:v>11</x:v>
      </x:c>
      <x:c r="F84" s="9">
        <x:v>7</x:v>
      </x:c>
      <x:c r="G84" s="16" t="s">
        <x:v>54</x:v>
      </x:c>
    </x:row>
    <x:row r="85" spans="1:7">
      <x:c r="A85" s="20" t="s">
        <x:v>37</x:v>
      </x:c>
      <x:c r="B85" s="2" t="s">
        <x:v>34</x:v>
      </x:c>
      <x:c r="C85" s="9" t="s">
        <x:v>40</x:v>
      </x:c>
      <x:c r="D85" s="9">
        <x:v>8</x:v>
      </x:c>
      <x:c r="E85" s="9">
        <x:v>6</x:v>
      </x:c>
      <x:c r="F85" s="9">
        <x:v>5</x:v>
      </x:c>
      <x:c r="G85" s="16" t="s">
        <x:v>54</x:v>
      </x:c>
    </x:row>
    <x:row r="86" spans="1:7">
      <x:c r="A86" s="20" t="s">
        <x:v>57</x:v>
      </x:c>
      <x:c r="B86" s="2" t="s">
        <x:v>25</x:v>
      </x:c>
      <x:c r="C86" s="9" t="s">
        <x:v>96</x:v>
      </x:c>
      <x:c r="D86" s="9">
        <x:v>7</x:v>
      </x:c>
      <x:c r="E86" s="9">
        <x:v>5</x:v>
      </x:c>
      <x:c r="F86" s="9">
        <x:v>5</x:v>
      </x:c>
      <x:c r="G86" s="16" t="s">
        <x:v>54</x:v>
      </x:c>
    </x:row>
    <x:row r="87" spans="1:7" ht="16.75">
      <x:c r="A87" s="21" t="s">
        <x:v>59</x:v>
      </x:c>
      <x:c r="B87" s="12" t="s">
        <x:v>72</x:v>
      </x:c>
      <x:c r="C87" s="13" t="s">
        <x:v>125</x:v>
      </x:c>
      <x:c r="D87" s="13">
        <x:v>1</x:v>
      </x:c>
      <x:c r="E87" s="13">
        <x:v>5</x:v>
      </x:c>
      <x:c r="F87" s="13">
        <x:v>14</x:v>
      </x:c>
      <x:c r="G87" s="17" t="s">
        <x:v>54</x:v>
      </x:c>
    </x:row>
    <x:row r="89" spans="1:7">
      <x:c r="A89" s="1" t="s">
        <x:v>35</x:v>
      </x:c>
      <x:c r="B89" s="1" t="s">
        <x:v>30</x:v>
      </x:c>
      <x:c r="C89" s="1" t="s">
        <x:v>0</x:v>
      </x:c>
      <x:c r="D89" s="24" t="s">
        <x:v>19</x:v>
      </x:c>
      <x:c r="E89" s="24" t="s">
        <x:v>26</x:v>
      </x:c>
      <x:c r="F89" s="24" t="s">
        <x:v>32</x:v>
      </x:c>
      <x:c r="G89" s="1" t="s">
        <x:v>36</x:v>
      </x:c>
    </x:row>
    <x:row r="90" spans="1:7" ht="16.75">
      <x:c r="A90" s="19" t="s">
        <x:v>76</x:v>
      </x:c>
      <x:c r="B90" s="14" t="s">
        <x:v>33</x:v>
      </x:c>
      <x:c r="C90" s="23" t="s">
        <x:v>121</x:v>
      </x:c>
      <x:c r="D90" s="23">
        <x:v>8</x:v>
      </x:c>
      <x:c r="E90" s="23">
        <x:v>5</x:v>
      </x:c>
      <x:c r="F90" s="23">
        <x:v>6</x:v>
      </x:c>
      <x:c r="G90" s="15" t="s">
        <x:v>39</x:v>
      </x:c>
    </x:row>
    <x:row r="91" spans="1:7">
      <x:c r="A91" s="20" t="s">
        <x:v>21</x:v>
      </x:c>
      <x:c r="B91" s="2" t="s">
        <x:v>56</x:v>
      </x:c>
      <x:c r="C91" s="9" t="s">
        <x:v>166</x:v>
      </x:c>
      <x:c r="D91" s="9">
        <x:v>6</x:v>
      </x:c>
      <x:c r="E91" s="9">
        <x:v>1</x:v>
      </x:c>
      <x:c r="F91" s="9">
        <x:v>9</x:v>
      </x:c>
      <x:c r="G91" s="16" t="s">
        <x:v>39</x:v>
      </x:c>
    </x:row>
    <x:row r="92" spans="1:7">
      <x:c r="A92" s="20" t="s">
        <x:v>37</x:v>
      </x:c>
      <x:c r="B92" s="2" t="s">
        <x:v>34</x:v>
      </x:c>
      <x:c r="C92" s="9" t="s">
        <x:v>42</x:v>
      </x:c>
      <x:c r="D92" s="9">
        <x:v>10</x:v>
      </x:c>
      <x:c r="E92" s="9">
        <x:v>5</x:v>
      </x:c>
      <x:c r="F92" s="9">
        <x:v>7</x:v>
      </x:c>
      <x:c r="G92" s="16" t="s">
        <x:v>39</x:v>
      </x:c>
    </x:row>
    <x:row r="93" spans="1:7">
      <x:c r="A93" s="20" t="s">
        <x:v>57</x:v>
      </x:c>
      <x:c r="B93" s="2" t="s">
        <x:v>25</x:v>
      </x:c>
      <x:c r="C93" s="9" t="s">
        <x:v>144</x:v>
      </x:c>
      <x:c r="D93" s="9">
        <x:v>5</x:v>
      </x:c>
      <x:c r="E93" s="9">
        <x:v>5</x:v>
      </x:c>
      <x:c r="F93" s="9">
        <x:v>7</x:v>
      </x:c>
      <x:c r="G93" s="16" t="s">
        <x:v>39</x:v>
      </x:c>
    </x:row>
    <x:row r="94" spans="1:7" ht="16.75">
      <x:c r="A94" s="21" t="s">
        <x:v>70</x:v>
      </x:c>
      <x:c r="B94" s="12" t="s">
        <x:v>72</x:v>
      </x:c>
      <x:c r="C94" s="13" t="s">
        <x:v>145</x:v>
      </x:c>
      <x:c r="D94" s="13">
        <x:v>1</x:v>
      </x:c>
      <x:c r="E94" s="13">
        <x:v>4</x:v>
      </x:c>
      <x:c r="F94" s="13">
        <x:v>15</x:v>
      </x:c>
      <x:c r="G94" s="17" t="s">
        <x:v>39</x:v>
      </x:c>
    </x:row>
    <x:row r="95" spans="1:7">
      <x:c r="A95" s="22" t="s">
        <x:v>61</x:v>
      </x:c>
      <x:c r="B95" s="10" t="s">
        <x:v>33</x:v>
      </x:c>
      <x:c r="C95" s="11" t="s">
        <x:v>79</x:v>
      </x:c>
      <x:c r="D95" s="11">
        <x:v>2</x:v>
      </x:c>
      <x:c r="E95" s="11">
        <x:v>9</x:v>
      </x:c>
      <x:c r="F95" s="11">
        <x:v>4</x:v>
      </x:c>
      <x:c r="G95" s="18" t="s">
        <x:v>54</x:v>
      </x:c>
    </x:row>
    <x:row r="96" spans="1:7">
      <x:c r="A96" s="20" t="s">
        <x:v>59</x:v>
      </x:c>
      <x:c r="B96" s="2" t="s">
        <x:v>56</x:v>
      </x:c>
      <x:c r="C96" s="9" t="s">
        <x:v>101</x:v>
      </x:c>
      <x:c r="D96" s="9">
        <x:v>8</x:v>
      </x:c>
      <x:c r="E96" s="9">
        <x:v>4</x:v>
      </x:c>
      <x:c r="F96" s="9">
        <x:v>3</x:v>
      </x:c>
      <x:c r="G96" s="16" t="s">
        <x:v>54</x:v>
      </x:c>
    </x:row>
    <x:row r="97" spans="1:7">
      <x:c r="A97" s="20" t="s">
        <x:v>73</x:v>
      </x:c>
      <x:c r="B97" s="2" t="s">
        <x:v>34</x:v>
      </x:c>
      <x:c r="C97" s="9" t="s">
        <x:v>83</x:v>
      </x:c>
      <x:c r="D97" s="9">
        <x:v>2</x:v>
      </x:c>
      <x:c r="E97" s="9">
        <x:v>6</x:v>
      </x:c>
      <x:c r="F97" s="9">
        <x:v>1</x:v>
      </x:c>
      <x:c r="G97" s="16" t="s">
        <x:v>54</x:v>
      </x:c>
    </x:row>
    <x:row r="98" spans="1:7">
      <x:c r="A98" s="20" t="s">
        <x:v>49</x:v>
      </x:c>
      <x:c r="B98" s="2" t="s">
        <x:v>25</x:v>
      </x:c>
      <x:c r="C98" s="9" t="s">
        <x:v>87</x:v>
      </x:c>
      <x:c r="D98" s="9">
        <x:v>8</x:v>
      </x:c>
      <x:c r="E98" s="9">
        <x:v>4</x:v>
      </x:c>
      <x:c r="F98" s="9">
        <x:v>4</x:v>
      </x:c>
      <x:c r="G98" s="16" t="s">
        <x:v>54</x:v>
      </x:c>
    </x:row>
    <x:row r="99" spans="1:7" ht="16.75">
      <x:c r="A99" s="21" t="s">
        <x:v>58</x:v>
      </x:c>
      <x:c r="B99" s="12" t="s">
        <x:v>72</x:v>
      </x:c>
      <x:c r="C99" s="13" t="s">
        <x:v>84</x:v>
      </x:c>
      <x:c r="D99" s="13">
        <x:v>0</x:v>
      </x:c>
      <x:c r="E99" s="13">
        <x:v>7</x:v>
      </x:c>
      <x:c r="F99" s="13">
        <x:v>10</x:v>
      </x:c>
      <x:c r="G99" s="17" t="s">
        <x:v>54</x:v>
      </x:c>
    </x:row>
    <x:row r="101" spans="1:7">
      <x:c r="A101" s="1" t="s">
        <x:v>35</x:v>
      </x:c>
      <x:c r="B101" s="1" t="s">
        <x:v>30</x:v>
      </x:c>
      <x:c r="C101" s="1" t="s">
        <x:v>0</x:v>
      </x:c>
      <x:c r="D101" s="24" t="s">
        <x:v>19</x:v>
      </x:c>
      <x:c r="E101" s="24" t="s">
        <x:v>26</x:v>
      </x:c>
      <x:c r="F101" s="24" t="s">
        <x:v>32</x:v>
      </x:c>
      <x:c r="G101" s="1" t="s">
        <x:v>36</x:v>
      </x:c>
    </x:row>
    <x:row r="102" spans="1:7" ht="16.75">
      <x:c r="A102" s="19" t="s">
        <x:v>85</x:v>
      </x:c>
      <x:c r="B102" s="14" t="s">
        <x:v>33</x:v>
      </x:c>
      <x:c r="C102" s="23" t="s">
        <x:v>83</x:v>
      </x:c>
      <x:c r="D102" s="23">
        <x:v>13</x:v>
      </x:c>
      <x:c r="E102" s="23">
        <x:v>1</x:v>
      </x:c>
      <x:c r="F102" s="23">
        <x:v>3</x:v>
      </x:c>
      <x:c r="G102" s="15" t="s">
        <x:v>39</x:v>
      </x:c>
    </x:row>
    <x:row r="103" spans="1:7">
      <x:c r="A103" s="20" t="s">
        <x:v>21</x:v>
      </x:c>
      <x:c r="B103" s="2" t="s">
        <x:v>56</x:v>
      </x:c>
      <x:c r="C103" s="9" t="s">
        <x:v>88</x:v>
      </x:c>
      <x:c r="D103" s="9">
        <x:v>7</x:v>
      </x:c>
      <x:c r="E103" s="9">
        <x:v>2</x:v>
      </x:c>
      <x:c r="F103" s="9">
        <x:v>10</x:v>
      </x:c>
      <x:c r="G103" s="16" t="s">
        <x:v>39</x:v>
      </x:c>
    </x:row>
    <x:row r="104" spans="1:7">
      <x:c r="A104" s="20" t="s">
        <x:v>105</x:v>
      </x:c>
      <x:c r="B104" s="2" t="s">
        <x:v>34</x:v>
      </x:c>
      <x:c r="C104" s="9" t="s">
        <x:v>110</x:v>
      </x:c>
      <x:c r="D104" s="9">
        <x:v>2</x:v>
      </x:c>
      <x:c r="E104" s="9">
        <x:v>3</x:v>
      </x:c>
      <x:c r="F104" s="9">
        <x:v>7</x:v>
      </x:c>
      <x:c r="G104" s="16" t="s">
        <x:v>39</x:v>
      </x:c>
    </x:row>
    <x:row r="105" spans="1:7">
      <x:c r="A105" s="20" t="s">
        <x:v>76</x:v>
      </x:c>
      <x:c r="B105" s="2" t="s">
        <x:v>25</x:v>
      </x:c>
      <x:c r="C105" s="9" t="s">
        <x:v>69</x:v>
      </x:c>
      <x:c r="D105" s="9">
        <x:v>1</x:v>
      </x:c>
      <x:c r="E105" s="9">
        <x:v>5</x:v>
      </x:c>
      <x:c r="F105" s="9">
        <x:v>8</x:v>
      </x:c>
      <x:c r="G105" s="16" t="s">
        <x:v>39</x:v>
      </x:c>
    </x:row>
    <x:row r="106" spans="1:7" ht="16.75">
      <x:c r="A106" s="21" t="s">
        <x:v>28</x:v>
      </x:c>
      <x:c r="B106" s="12" t="s">
        <x:v>72</x:v>
      </x:c>
      <x:c r="C106" s="13" t="s">
        <x:v>93</x:v>
      </x:c>
      <x:c r="D106" s="13">
        <x:v>3</x:v>
      </x:c>
      <x:c r="E106" s="13">
        <x:v>1</x:v>
      </x:c>
      <x:c r="F106" s="13">
        <x:v>9</x:v>
      </x:c>
      <x:c r="G106" s="17" t="s">
        <x:v>39</x:v>
      </x:c>
    </x:row>
    <x:row r="107" spans="1:7">
      <x:c r="A107" s="22" t="s">
        <x:v>73</x:v>
      </x:c>
      <x:c r="B107" s="10" t="s">
        <x:v>33</x:v>
      </x:c>
      <x:c r="C107" s="11" t="s">
        <x:v>165</x:v>
      </x:c>
      <x:c r="D107" s="11">
        <x:v>1</x:v>
      </x:c>
      <x:c r="E107" s="11">
        <x:v>8</x:v>
      </x:c>
      <x:c r="F107" s="11">
        <x:v>0</x:v>
      </x:c>
      <x:c r="G107" s="18" t="s">
        <x:v>54</x:v>
      </x:c>
    </x:row>
    <x:row r="108" spans="1:7">
      <x:c r="A108" s="20" t="s">
        <x:v>59</x:v>
      </x:c>
      <x:c r="B108" s="2" t="s">
        <x:v>56</x:v>
      </x:c>
      <x:c r="C108" s="9" t="s">
        <x:v>97</x:v>
      </x:c>
      <x:c r="D108" s="9">
        <x:v>1</x:v>
      </x:c>
      <x:c r="E108" s="9">
        <x:v>6</x:v>
      </x:c>
      <x:c r="F108" s="9">
        <x:v>5</x:v>
      </x:c>
      <x:c r="G108" s="16" t="s">
        <x:v>54</x:v>
      </x:c>
    </x:row>
    <x:row r="109" spans="1:7">
      <x:c r="A109" s="20" t="s">
        <x:v>55</x:v>
      </x:c>
      <x:c r="B109" s="2" t="s">
        <x:v>34</x:v>
      </x:c>
      <x:c r="C109" s="9" t="s">
        <x:v>180</x:v>
      </x:c>
      <x:c r="D109" s="9">
        <x:v>1</x:v>
      </x:c>
      <x:c r="E109" s="9">
        <x:v>5</x:v>
      </x:c>
      <x:c r="F109" s="9">
        <x:v>3</x:v>
      </x:c>
      <x:c r="G109" s="16" t="s">
        <x:v>54</x:v>
      </x:c>
    </x:row>
    <x:row r="110" spans="1:7">
      <x:c r="A110" s="20" t="s">
        <x:v>57</x:v>
      </x:c>
      <x:c r="B110" s="2" t="s">
        <x:v>25</x:v>
      </x:c>
      <x:c r="C110" s="9" t="s">
        <x:v>159</x:v>
      </x:c>
      <x:c r="D110" s="9">
        <x:v>7</x:v>
      </x:c>
      <x:c r="E110" s="9">
        <x:v>3</x:v>
      </x:c>
      <x:c r="F110" s="9">
        <x:v>3</x:v>
      </x:c>
      <x:c r="G110" s="16" t="s">
        <x:v>54</x:v>
      </x:c>
    </x:row>
    <x:row r="111" spans="1:7" ht="16.75">
      <x:c r="A111" s="21" t="s">
        <x:v>37</x:v>
      </x:c>
      <x:c r="B111" s="12" t="s">
        <x:v>72</x:v>
      </x:c>
      <x:c r="C111" s="13" t="s">
        <x:v>80</x:v>
      </x:c>
      <x:c r="D111" s="13">
        <x:v>2</x:v>
      </x:c>
      <x:c r="E111" s="13">
        <x:v>4</x:v>
      </x:c>
      <x:c r="F111" s="13">
        <x:v>9</x:v>
      </x:c>
      <x:c r="G111" s="17" t="s">
        <x:v>54</x:v>
      </x:c>
    </x:row>
    <x:row r="113" spans="1:7">
      <x:c r="A113" s="1" t="s">
        <x:v>35</x:v>
      </x:c>
      <x:c r="B113" s="1" t="s">
        <x:v>30</x:v>
      </x:c>
      <x:c r="C113" s="1" t="s">
        <x:v>0</x:v>
      </x:c>
      <x:c r="D113" s="24" t="s">
        <x:v>19</x:v>
      </x:c>
      <x:c r="E113" s="24" t="s">
        <x:v>26</x:v>
      </x:c>
      <x:c r="F113" s="24" t="s">
        <x:v>32</x:v>
      </x:c>
      <x:c r="G113" s="1" t="s">
        <x:v>36</x:v>
      </x:c>
    </x:row>
    <x:row r="114" spans="1:7" ht="16.75">
      <x:c r="A114" s="19" t="s">
        <x:v>85</x:v>
      </x:c>
      <x:c r="B114" s="14" t="s">
        <x:v>33</x:v>
      </x:c>
      <x:c r="C114" s="23" t="s">
        <x:v>140</x:v>
      </x:c>
      <x:c r="D114" s="23">
        <x:v>5</x:v>
      </x:c>
      <x:c r="E114" s="23">
        <x:v>4</x:v>
      </x:c>
      <x:c r="F114" s="23">
        <x:v>13</x:v>
      </x:c>
      <x:c r="G114" s="15" t="s">
        <x:v>39</x:v>
      </x:c>
    </x:row>
    <x:row r="115" spans="1:7">
      <x:c r="A115" s="20" t="s">
        <x:v>21</x:v>
      </x:c>
      <x:c r="B115" s="2" t="s">
        <x:v>56</x:v>
      </x:c>
      <x:c r="C115" s="9" t="s">
        <x:v>116</x:v>
      </x:c>
      <x:c r="D115" s="9">
        <x:v>14</x:v>
      </x:c>
      <x:c r="E115" s="9">
        <x:v>3</x:v>
      </x:c>
      <x:c r="F115" s="9">
        <x:v>6</x:v>
      </x:c>
      <x:c r="G115" s="16" t="s">
        <x:v>39</x:v>
      </x:c>
    </x:row>
    <x:row r="116" spans="1:7">
      <x:c r="A116" s="20" t="s">
        <x:v>105</x:v>
      </x:c>
      <x:c r="B116" s="2" t="s">
        <x:v>34</x:v>
      </x:c>
      <x:c r="C116" s="9" t="s">
        <x:v>81</x:v>
      </x:c>
      <x:c r="D116" s="9">
        <x:v>3</x:v>
      </x:c>
      <x:c r="E116" s="9">
        <x:v>2</x:v>
      </x:c>
      <x:c r="F116" s="9">
        <x:v>4</x:v>
      </x:c>
      <x:c r="G116" s="16" t="s">
        <x:v>39</x:v>
      </x:c>
    </x:row>
    <x:row r="117" spans="1:7">
      <x:c r="A117" s="20" t="s">
        <x:v>76</x:v>
      </x:c>
      <x:c r="B117" s="2" t="s">
        <x:v>25</x:v>
      </x:c>
      <x:c r="C117" s="9" t="s">
        <x:v>111</x:v>
      </x:c>
      <x:c r="D117" s="9">
        <x:v>10</x:v>
      </x:c>
      <x:c r="E117" s="9">
        <x:v>4</x:v>
      </x:c>
      <x:c r="F117" s="9">
        <x:v>8</x:v>
      </x:c>
      <x:c r="G117" s="16" t="s">
        <x:v>39</x:v>
      </x:c>
    </x:row>
    <x:row r="118" spans="1:7" ht="16.75">
      <x:c r="A118" s="21" t="s">
        <x:v>28</x:v>
      </x:c>
      <x:c r="B118" s="12" t="s">
        <x:v>72</x:v>
      </x:c>
      <x:c r="C118" s="13" t="s">
        <x:v>163</x:v>
      </x:c>
      <x:c r="D118" s="13">
        <x:v>2</x:v>
      </x:c>
      <x:c r="E118" s="13">
        <x:v>2</x:v>
      </x:c>
      <x:c r="F118" s="13">
        <x:v>14</x:v>
      </x:c>
      <x:c r="G118" s="17" t="s">
        <x:v>39</x:v>
      </x:c>
    </x:row>
    <x:row r="119" spans="1:7">
      <x:c r="A119" s="22" t="s">
        <x:v>73</x:v>
      </x:c>
      <x:c r="B119" s="10" t="s">
        <x:v>33</x:v>
      </x:c>
      <x:c r="C119" s="11" t="s">
        <x:v>113</x:v>
      </x:c>
      <x:c r="D119" s="11">
        <x:v>4</x:v>
      </x:c>
      <x:c r="E119" s="11">
        <x:v>9</x:v>
      </x:c>
      <x:c r="F119" s="11">
        <x:v>4</x:v>
      </x:c>
      <x:c r="G119" s="18" t="s">
        <x:v>54</x:v>
      </x:c>
    </x:row>
    <x:row r="120" spans="1:7">
      <x:c r="A120" s="20" t="s">
        <x:v>59</x:v>
      </x:c>
      <x:c r="B120" s="2" t="s">
        <x:v>56</x:v>
      </x:c>
      <x:c r="C120" s="9" t="s">
        <x:v>132</x:v>
      </x:c>
      <x:c r="D120" s="9">
        <x:v>2</x:v>
      </x:c>
      <x:c r="E120" s="9">
        <x:v>6</x:v>
      </x:c>
      <x:c r="F120" s="9">
        <x:v>4</x:v>
      </x:c>
      <x:c r="G120" s="16" t="s">
        <x:v>54</x:v>
      </x:c>
    </x:row>
    <x:row r="121" spans="1:7">
      <x:c r="A121" s="20" t="s">
        <x:v>55</x:v>
      </x:c>
      <x:c r="B121" s="2" t="s">
        <x:v>34</x:v>
      </x:c>
      <x:c r="C121" s="9" t="s">
        <x:v>106</x:v>
      </x:c>
      <x:c r="D121" s="9">
        <x:v>0</x:v>
      </x:c>
      <x:c r="E121" s="9">
        <x:v>4</x:v>
      </x:c>
      <x:c r="F121" s="9">
        <x:v>5</x:v>
      </x:c>
      <x:c r="G121" s="16" t="s">
        <x:v>54</x:v>
      </x:c>
    </x:row>
    <x:row r="122" spans="1:7">
      <x:c r="A122" s="20" t="s">
        <x:v>57</x:v>
      </x:c>
      <x:c r="B122" s="2" t="s">
        <x:v>25</x:v>
      </x:c>
      <x:c r="C122" s="9" t="s">
        <x:v>96</x:v>
      </x:c>
      <x:c r="D122" s="9">
        <x:v>5</x:v>
      </x:c>
      <x:c r="E122" s="9">
        <x:v>7</x:v>
      </x:c>
      <x:c r="F122" s="9">
        <x:v>3</x:v>
      </x:c>
      <x:c r="G122" s="16" t="s">
        <x:v>54</x:v>
      </x:c>
    </x:row>
    <x:row r="123" spans="1:7" ht="16.75">
      <x:c r="A123" s="21" t="s">
        <x:v>37</x:v>
      </x:c>
      <x:c r="B123" s="12" t="s">
        <x:v>72</x:v>
      </x:c>
      <x:c r="C123" s="13" t="s">
        <x:v>67</x:v>
      </x:c>
      <x:c r="D123" s="13">
        <x:v>4</x:v>
      </x:c>
      <x:c r="E123" s="13">
        <x:v>8</x:v>
      </x:c>
      <x:c r="F123" s="13">
        <x:v>6</x:v>
      </x:c>
      <x:c r="G123" s="17" t="s">
        <x:v>54</x:v>
      </x:c>
    </x:row>
    <x:row r="125" spans="1:7">
      <x:c r="A125" s="1" t="s">
        <x:v>35</x:v>
      </x:c>
      <x:c r="B125" s="1" t="s">
        <x:v>30</x:v>
      </x:c>
      <x:c r="C125" s="1" t="s">
        <x:v>0</x:v>
      </x:c>
      <x:c r="D125" s="24" t="s">
        <x:v>19</x:v>
      </x:c>
      <x:c r="E125" s="24" t="s">
        <x:v>26</x:v>
      </x:c>
      <x:c r="F125" s="24" t="s">
        <x:v>32</x:v>
      </x:c>
      <x:c r="G125" s="1" t="s">
        <x:v>36</x:v>
      </x:c>
    </x:row>
    <x:row r="126" spans="1:7" ht="16.75">
      <x:c r="A126" s="19" t="s">
        <x:v>76</x:v>
      </x:c>
      <x:c r="B126" s="14" t="s">
        <x:v>33</x:v>
      </x:c>
      <x:c r="C126" s="23" t="s">
        <x:v>170</x:v>
      </x:c>
      <x:c r="D126" s="23">
        <x:v>3</x:v>
      </x:c>
      <x:c r="E126" s="23">
        <x:v>3</x:v>
      </x:c>
      <x:c r="F126" s="23">
        <x:v>4</x:v>
      </x:c>
      <x:c r="G126" s="15" t="s">
        <x:v>39</x:v>
      </x:c>
    </x:row>
    <x:row r="127" spans="1:7">
      <x:c r="A127" s="20" t="s">
        <x:v>60</x:v>
      </x:c>
      <x:c r="B127" s="2" t="s">
        <x:v>56</x:v>
      </x:c>
      <x:c r="C127" s="9" t="s">
        <x:v>88</x:v>
      </x:c>
      <x:c r="D127" s="9">
        <x:v>5</x:v>
      </x:c>
      <x:c r="E127" s="9">
        <x:v>3</x:v>
      </x:c>
      <x:c r="F127" s="9">
        <x:v>7</x:v>
      </x:c>
      <x:c r="G127" s="16" t="s">
        <x:v>39</x:v>
      </x:c>
    </x:row>
    <x:row r="128" spans="1:7">
      <x:c r="A128" s="20" t="s">
        <x:v>73</x:v>
      </x:c>
      <x:c r="B128" s="2" t="s">
        <x:v>34</x:v>
      </x:c>
      <x:c r="C128" s="9" t="s">
        <x:v>83</x:v>
      </x:c>
      <x:c r="D128" s="9">
        <x:v>7</x:v>
      </x:c>
      <x:c r="E128" s="9">
        <x:v>4</x:v>
      </x:c>
      <x:c r="F128" s="9">
        <x:v>4</x:v>
      </x:c>
      <x:c r="G128" s="16" t="s">
        <x:v>39</x:v>
      </x:c>
    </x:row>
    <x:row r="129" spans="1:7">
      <x:c r="A129" s="20" t="s">
        <x:v>50</x:v>
      </x:c>
      <x:c r="B129" s="2" t="s">
        <x:v>25</x:v>
      </x:c>
      <x:c r="C129" s="9" t="s">
        <x:v>111</x:v>
      </x:c>
      <x:c r="D129" s="9">
        <x:v>10</x:v>
      </x:c>
      <x:c r="E129" s="9">
        <x:v>0</x:v>
      </x:c>
      <x:c r="F129" s="9">
        <x:v>6</x:v>
      </x:c>
      <x:c r="G129" s="16" t="s">
        <x:v>39</x:v>
      </x:c>
    </x:row>
    <x:row r="130" spans="1:7" ht="16.75">
      <x:c r="A130" s="21" t="s">
        <x:v>28</x:v>
      </x:c>
      <x:c r="B130" s="12" t="s">
        <x:v>72</x:v>
      </x:c>
      <x:c r="C130" s="13" t="s">
        <x:v>136</x:v>
      </x:c>
      <x:c r="D130" s="13">
        <x:v>1</x:v>
      </x:c>
      <x:c r="E130" s="13">
        <x:v>4</x:v>
      </x:c>
      <x:c r="F130" s="13">
        <x:v>18</x:v>
      </x:c>
      <x:c r="G130" s="17" t="s">
        <x:v>39</x:v>
      </x:c>
    </x:row>
    <x:row r="131" spans="1:7">
      <x:c r="A131" s="22" t="s">
        <x:v>55</x:v>
      </x:c>
      <x:c r="B131" s="10" t="s">
        <x:v>33</x:v>
      </x:c>
      <x:c r="C131" s="11" t="s">
        <x:v>106</x:v>
      </x:c>
      <x:c r="D131" s="11">
        <x:v>4</x:v>
      </x:c>
      <x:c r="E131" s="11">
        <x:v>4</x:v>
      </x:c>
      <x:c r="F131" s="11">
        <x:v>4</x:v>
      </x:c>
      <x:c r="G131" s="18" t="s">
        <x:v>54</x:v>
      </x:c>
    </x:row>
    <x:row r="132" spans="1:7">
      <x:c r="A132" s="20" t="s">
        <x:v>85</x:v>
      </x:c>
      <x:c r="B132" s="2" t="s">
        <x:v>56</x:v>
      </x:c>
      <x:c r="C132" s="9" t="s">
        <x:v>107</x:v>
      </x:c>
      <x:c r="D132" s="9">
        <x:v>5</x:v>
      </x:c>
      <x:c r="E132" s="9">
        <x:v>7</x:v>
      </x:c>
      <x:c r="F132" s="9">
        <x:v>6</x:v>
      </x:c>
      <x:c r="G132" s="16" t="s">
        <x:v>54</x:v>
      </x:c>
    </x:row>
    <x:row r="133" spans="1:7">
      <x:c r="A133" s="20" t="s">
        <x:v>37</x:v>
      </x:c>
      <x:c r="B133" s="2" t="s">
        <x:v>34</x:v>
      </x:c>
      <x:c r="C133" s="9" t="s">
        <x:v>64</x:v>
      </x:c>
      <x:c r="D133" s="9">
        <x:v>2</x:v>
      </x:c>
      <x:c r="E133" s="9">
        <x:v>6</x:v>
      </x:c>
      <x:c r="F133" s="9">
        <x:v>1</x:v>
      </x:c>
      <x:c r="G133" s="16" t="s">
        <x:v>54</x:v>
      </x:c>
    </x:row>
    <x:row r="134" spans="1:7">
      <x:c r="A134" s="20" t="s">
        <x:v>57</x:v>
      </x:c>
      <x:c r="B134" s="2" t="s">
        <x:v>25</x:v>
      </x:c>
      <x:c r="C134" s="9" t="s">
        <x:v>91</x:v>
      </x:c>
      <x:c r="D134" s="9">
        <x:v>1</x:v>
      </x:c>
      <x:c r="E134" s="9">
        <x:v>6</x:v>
      </x:c>
      <x:c r="F134" s="9">
        <x:v>4</x:v>
      </x:c>
      <x:c r="G134" s="16" t="s">
        <x:v>54</x:v>
      </x:c>
    </x:row>
    <x:row r="135" spans="1:7" ht="16.75">
      <x:c r="A135" s="21" t="s">
        <x:v>21</x:v>
      </x:c>
      <x:c r="B135" s="12" t="s">
        <x:v>72</x:v>
      </x:c>
      <x:c r="C135" s="13" t="s">
        <x:v>86</x:v>
      </x:c>
      <x:c r="D135" s="13">
        <x:v>2</x:v>
      </x:c>
      <x:c r="E135" s="13">
        <x:v>3</x:v>
      </x:c>
      <x:c r="F135" s="13">
        <x:v>7</x:v>
      </x:c>
      <x:c r="G135" s="17" t="s">
        <x:v>54</x:v>
      </x:c>
    </x:row>
    <x:row r="137" spans="1:7">
      <x:c r="A137" s="1" t="s">
        <x:v>35</x:v>
      </x:c>
      <x:c r="B137" s="1" t="s">
        <x:v>30</x:v>
      </x:c>
      <x:c r="C137" s="1" t="s">
        <x:v>0</x:v>
      </x:c>
      <x:c r="D137" s="24" t="s">
        <x:v>19</x:v>
      </x:c>
      <x:c r="E137" s="24" t="s">
        <x:v>26</x:v>
      </x:c>
      <x:c r="F137" s="24" t="s">
        <x:v>32</x:v>
      </x:c>
      <x:c r="G137" s="1" t="s">
        <x:v>36</x:v>
      </x:c>
    </x:row>
    <x:row r="138" spans="1:7" ht="16.75">
      <x:c r="A138" s="19" t="s">
        <x:v>76</x:v>
      </x:c>
      <x:c r="B138" s="14" t="s">
        <x:v>33</x:v>
      </x:c>
      <x:c r="C138" s="23" t="s">
        <x:v>140</x:v>
      </x:c>
      <x:c r="D138" s="23">
        <x:v>6</x:v>
      </x:c>
      <x:c r="E138" s="23">
        <x:v>11</x:v>
      </x:c>
      <x:c r="F138" s="23">
        <x:v>7</x:v>
      </x:c>
      <x:c r="G138" s="15" t="s">
        <x:v>39</x:v>
      </x:c>
    </x:row>
    <x:row r="139" spans="1:7">
      <x:c r="A139" s="20" t="s">
        <x:v>21</x:v>
      </x:c>
      <x:c r="B139" s="2" t="s">
        <x:v>56</x:v>
      </x:c>
      <x:c r="C139" s="9" t="s">
        <x:v>107</x:v>
      </x:c>
      <x:c r="D139" s="9">
        <x:v>14</x:v>
      </x:c>
      <x:c r="E139" s="9">
        <x:v>4</x:v>
      </x:c>
      <x:c r="F139" s="9">
        <x:v>7</x:v>
      </x:c>
      <x:c r="G139" s="16" t="s">
        <x:v>39</x:v>
      </x:c>
    </x:row>
    <x:row r="140" spans="1:7">
      <x:c r="A140" s="20" t="s">
        <x:v>37</x:v>
      </x:c>
      <x:c r="B140" s="2" t="s">
        <x:v>34</x:v>
      </x:c>
      <x:c r="C140" s="9" t="s">
        <x:v>66</x:v>
      </x:c>
      <x:c r="D140" s="9">
        <x:v>12</x:v>
      </x:c>
      <x:c r="E140" s="9">
        <x:v>5</x:v>
      </x:c>
      <x:c r="F140" s="9">
        <x:v>11</x:v>
      </x:c>
      <x:c r="G140" s="16" t="s">
        <x:v>39</x:v>
      </x:c>
    </x:row>
    <x:row r="141" spans="1:7">
      <x:c r="A141" s="20" t="s">
        <x:v>85</x:v>
      </x:c>
      <x:c r="B141" s="2" t="s">
        <x:v>25</x:v>
      </x:c>
      <x:c r="C141" s="9" t="s">
        <x:v>96</x:v>
      </x:c>
      <x:c r="D141" s="9">
        <x:v>7</x:v>
      </x:c>
      <x:c r="E141" s="9">
        <x:v>7</x:v>
      </x:c>
      <x:c r="F141" s="9">
        <x:v>9</x:v>
      </x:c>
      <x:c r="G141" s="16" t="s">
        <x:v>39</x:v>
      </x:c>
    </x:row>
    <x:row r="142" spans="1:7" ht="16.75">
      <x:c r="A142" s="21" t="s">
        <x:v>55</x:v>
      </x:c>
      <x:c r="B142" s="12" t="s">
        <x:v>72</x:v>
      </x:c>
      <x:c r="C142" s="13" t="s">
        <x:v>95</x:v>
      </x:c>
      <x:c r="D142" s="13">
        <x:v>1</x:v>
      </x:c>
      <x:c r="E142" s="13">
        <x:v>6</x:v>
      </x:c>
      <x:c r="F142" s="13">
        <x:v>19</x:v>
      </x:c>
      <x:c r="G142" s="17" t="s">
        <x:v>39</x:v>
      </x:c>
    </x:row>
    <x:row r="143" spans="1:7">
      <x:c r="A143" s="22" t="s">
        <x:v>20</x:v>
      </x:c>
      <x:c r="B143" s="10" t="s">
        <x:v>33</x:v>
      </x:c>
      <x:c r="C143" s="11" t="s">
        <x:v>177</x:v>
      </x:c>
      <x:c r="D143" s="11">
        <x:v>7</x:v>
      </x:c>
      <x:c r="E143" s="11">
        <x:v>11</x:v>
      </x:c>
      <x:c r="F143" s="11">
        <x:v>6</x:v>
      </x:c>
      <x:c r="G143" s="18" t="s">
        <x:v>54</x:v>
      </x:c>
    </x:row>
    <x:row r="144" spans="1:7">
      <x:c r="A144" s="20" t="s">
        <x:v>22</x:v>
      </x:c>
      <x:c r="B144" s="2" t="s">
        <x:v>56</x:v>
      </x:c>
      <x:c r="C144" s="9" t="s">
        <x:v>101</x:v>
      </x:c>
      <x:c r="D144" s="9">
        <x:v>9</x:v>
      </x:c>
      <x:c r="E144" s="9">
        <x:v>6</x:v>
      </x:c>
      <x:c r="F144" s="9">
        <x:v>13</x:v>
      </x:c>
      <x:c r="G144" s="16" t="s">
        <x:v>54</x:v>
      </x:c>
    </x:row>
    <x:row r="145" spans="1:7">
      <x:c r="A145" s="20" t="s">
        <x:v>73</x:v>
      </x:c>
      <x:c r="B145" s="2" t="s">
        <x:v>34</x:v>
      </x:c>
      <x:c r="C145" s="9" t="s">
        <x:v>188</x:v>
      </x:c>
      <x:c r="D145" s="9">
        <x:v>6</x:v>
      </x:c>
      <x:c r="E145" s="9">
        <x:v>10</x:v>
      </x:c>
      <x:c r="F145" s="9">
        <x:v>8</x:v>
      </x:c>
      <x:c r="G145" s="16" t="s">
        <x:v>54</x:v>
      </x:c>
    </x:row>
    <x:row r="146" spans="1:7">
      <x:c r="A146" s="20" t="s">
        <x:v>50</x:v>
      </x:c>
      <x:c r="B146" s="2" t="s">
        <x:v>25</x:v>
      </x:c>
      <x:c r="C146" s="9" t="s">
        <x:v>144</x:v>
      </x:c>
      <x:c r="D146" s="9">
        <x:v>7</x:v>
      </x:c>
      <x:c r="E146" s="9">
        <x:v>5</x:v>
      </x:c>
      <x:c r="F146" s="9">
        <x:v>11</x:v>
      </x:c>
      <x:c r="G146" s="16" t="s">
        <x:v>54</x:v>
      </x:c>
    </x:row>
    <x:row r="147" spans="1:7" ht="16.75">
      <x:c r="A147" s="21" t="s">
        <x:v>28</x:v>
      </x:c>
      <x:c r="B147" s="12" t="s">
        <x:v>72</x:v>
      </x:c>
      <x:c r="C147" s="13" t="s">
        <x:v>80</x:v>
      </x:c>
      <x:c r="D147" s="13">
        <x:v>4</x:v>
      </x:c>
      <x:c r="E147" s="13">
        <x:v>8</x:v>
      </x:c>
      <x:c r="F147" s="13">
        <x:v>21</x:v>
      </x:c>
      <x:c r="G147" s="17" t="s">
        <x:v>54</x:v>
      </x:c>
    </x:row>
    <x:row r="149" spans="1:7">
      <x:c r="A149" s="1" t="s">
        <x:v>35</x:v>
      </x:c>
      <x:c r="B149" s="1" t="s">
        <x:v>30</x:v>
      </x:c>
      <x:c r="C149" s="1" t="s">
        <x:v>0</x:v>
      </x:c>
      <x:c r="D149" s="24" t="s">
        <x:v>19</x:v>
      </x:c>
      <x:c r="E149" s="24" t="s">
        <x:v>26</x:v>
      </x:c>
      <x:c r="F149" s="24" t="s">
        <x:v>32</x:v>
      </x:c>
      <x:c r="G149" s="1" t="s">
        <x:v>36</x:v>
      </x:c>
    </x:row>
    <x:row r="150" spans="1:7" ht="16.75">
      <x:c r="A150" s="19" t="s">
        <x:v>21</x:v>
      </x:c>
      <x:c r="B150" s="14" t="s">
        <x:v>33</x:v>
      </x:c>
      <x:c r="C150" s="23" t="s">
        <x:v>140</x:v>
      </x:c>
      <x:c r="D150" s="23">
        <x:v>12</x:v>
      </x:c>
      <x:c r="E150" s="23">
        <x:v>5</x:v>
      </x:c>
      <x:c r="F150" s="23">
        <x:v>10</x:v>
      </x:c>
      <x:c r="G150" s="15" t="s">
        <x:v>39</x:v>
      </x:c>
    </x:row>
    <x:row r="151" spans="1:7">
      <x:c r="A151" s="20" t="s">
        <x:v>60</x:v>
      </x:c>
      <x:c r="B151" s="2" t="s">
        <x:v>56</x:v>
      </x:c>
      <x:c r="C151" s="9" t="s">
        <x:v>97</x:v>
      </x:c>
      <x:c r="D151" s="9">
        <x:v>5</x:v>
      </x:c>
      <x:c r="E151" s="9">
        <x:v>5</x:v>
      </x:c>
      <x:c r="F151" s="9">
        <x:v>19</x:v>
      </x:c>
      <x:c r="G151" s="16" t="s">
        <x:v>39</x:v>
      </x:c>
    </x:row>
    <x:row r="152" spans="1:7">
      <x:c r="A152" s="20" t="s">
        <x:v>73</x:v>
      </x:c>
      <x:c r="B152" s="2" t="s">
        <x:v>34</x:v>
      </x:c>
      <x:c r="C152" s="9" t="s">
        <x:v>108</x:v>
      </x:c>
      <x:c r="D152" s="9">
        <x:v>10</x:v>
      </x:c>
      <x:c r="E152" s="9">
        <x:v>6</x:v>
      </x:c>
      <x:c r="F152" s="9">
        <x:v>9</x:v>
      </x:c>
      <x:c r="G152" s="16" t="s">
        <x:v>39</x:v>
      </x:c>
    </x:row>
    <x:row r="153" spans="1:7">
      <x:c r="A153" s="20" t="s">
        <x:v>76</x:v>
      </x:c>
      <x:c r="B153" s="2" t="s">
        <x:v>25</x:v>
      </x:c>
      <x:c r="C153" s="9" t="s">
        <x:v>111</x:v>
      </x:c>
      <x:c r="D153" s="9">
        <x:v>11</x:v>
      </x:c>
      <x:c r="E153" s="9">
        <x:v>8</x:v>
      </x:c>
      <x:c r="F153" s="9">
        <x:v>10</x:v>
      </x:c>
      <x:c r="G153" s="16" t="s">
        <x:v>39</x:v>
      </x:c>
    </x:row>
    <x:row r="154" spans="1:7" ht="16.75">
      <x:c r="A154" s="21" t="s">
        <x:v>70</x:v>
      </x:c>
      <x:c r="B154" s="12" t="s">
        <x:v>72</x:v>
      </x:c>
      <x:c r="C154" s="13" t="s">
        <x:v>157</x:v>
      </x:c>
      <x:c r="D154" s="13">
        <x:v>3</x:v>
      </x:c>
      <x:c r="E154" s="13">
        <x:v>5</x:v>
      </x:c>
      <x:c r="F154" s="13">
        <x:v>20</x:v>
      </x:c>
      <x:c r="G154" s="17" t="s">
        <x:v>39</x:v>
      </x:c>
    </x:row>
    <x:row r="155" spans="1:7">
      <x:c r="A155" s="22" t="s">
        <x:v>47</x:v>
      </x:c>
      <x:c r="B155" s="10" t="s">
        <x:v>33</x:v>
      </x:c>
      <x:c r="C155" s="11" t="s">
        <x:v>65</x:v>
      </x:c>
      <x:c r="D155" s="11">
        <x:v>12</x:v>
      </x:c>
      <x:c r="E155" s="11">
        <x:v>11</x:v>
      </x:c>
      <x:c r="F155" s="11">
        <x:v>2</x:v>
      </x:c>
      <x:c r="G155" s="18" t="s">
        <x:v>54</x:v>
      </x:c>
    </x:row>
    <x:row r="156" spans="1:7">
      <x:c r="A156" s="20" t="s">
        <x:v>62</x:v>
      </x:c>
      <x:c r="B156" s="2" t="s">
        <x:v>56</x:v>
      </x:c>
      <x:c r="C156" s="9" t="s">
        <x:v>52</x:v>
      </x:c>
      <x:c r="D156" s="9">
        <x:v>4</x:v>
      </x:c>
      <x:c r="E156" s="9">
        <x:v>7</x:v>
      </x:c>
      <x:c r="F156" s="9">
        <x:v>6</x:v>
      </x:c>
      <x:c r="G156" s="16" t="s">
        <x:v>54</x:v>
      </x:c>
    </x:row>
    <x:row r="157" spans="1:7">
      <x:c r="A157" s="20" t="s">
        <x:v>71</x:v>
      </x:c>
      <x:c r="B157" s="2" t="s">
        <x:v>34</x:v>
      </x:c>
      <x:c r="C157" s="9" t="s">
        <x:v>40</x:v>
      </x:c>
      <x:c r="D157" s="9">
        <x:v>4</x:v>
      </x:c>
      <x:c r="E157" s="9">
        <x:v>6</x:v>
      </x:c>
      <x:c r="F157" s="9">
        <x:v>10</x:v>
      </x:c>
      <x:c r="G157" s="16" t="s">
        <x:v>54</x:v>
      </x:c>
    </x:row>
    <x:row r="158" spans="1:7">
      <x:c r="A158" s="20" t="s">
        <x:v>28</x:v>
      </x:c>
      <x:c r="B158" s="2" t="s">
        <x:v>25</x:v>
      </x:c>
      <x:c r="C158" s="9" t="s">
        <x:v>176</x:v>
      </x:c>
      <x:c r="D158" s="9">
        <x:v>8</x:v>
      </x:c>
      <x:c r="E158" s="9">
        <x:v>7</x:v>
      </x:c>
      <x:c r="F158" s="9">
        <x:v>7</x:v>
      </x:c>
      <x:c r="G158" s="16" t="s">
        <x:v>54</x:v>
      </x:c>
    </x:row>
    <x:row r="159" spans="1:7" ht="16.75">
      <x:c r="A159" s="21" t="s">
        <x:v>105</x:v>
      </x:c>
      <x:c r="B159" s="12" t="s">
        <x:v>72</x:v>
      </x:c>
      <x:c r="C159" s="13" t="s">
        <x:v>160</x:v>
      </x:c>
      <x:c r="D159" s="13">
        <x:v>1</x:v>
      </x:c>
      <x:c r="E159" s="13">
        <x:v>10</x:v>
      </x:c>
      <x:c r="F159" s="13">
        <x:v>15</x:v>
      </x:c>
      <x:c r="G159" s="17" t="s">
        <x:v>54</x:v>
      </x:c>
    </x:row>
    <x:row r="161" spans="1:7">
      <x:c r="A161" s="1" t="s">
        <x:v>35</x:v>
      </x:c>
      <x:c r="B161" s="1" t="s">
        <x:v>30</x:v>
      </x:c>
      <x:c r="C161" s="1" t="s">
        <x:v>0</x:v>
      </x:c>
      <x:c r="D161" s="24" t="s">
        <x:v>19</x:v>
      </x:c>
      <x:c r="E161" s="24" t="s">
        <x:v>26</x:v>
      </x:c>
      <x:c r="F161" s="24" t="s">
        <x:v>32</x:v>
      </x:c>
      <x:c r="G161" s="1" t="s">
        <x:v>36</x:v>
      </x:c>
    </x:row>
    <x:row r="162" spans="1:7" ht="16.75">
      <x:c r="A162" s="22" t="s">
        <x:v>47</x:v>
      </x:c>
      <x:c r="B162" s="14" t="s">
        <x:v>33</x:v>
      </x:c>
      <x:c r="C162" s="23" t="s">
        <x:v>181</x:v>
      </x:c>
      <x:c r="D162" s="23">
        <x:v>8</x:v>
      </x:c>
      <x:c r="E162" s="23">
        <x:v>8</x:v>
      </x:c>
      <x:c r="F162" s="23">
        <x:v>10</x:v>
      </x:c>
      <x:c r="G162" s="15" t="s">
        <x:v>39</x:v>
      </x:c>
    </x:row>
    <x:row r="163" spans="1:7">
      <x:c r="A163" s="20" t="s">
        <x:v>28</x:v>
      </x:c>
      <x:c r="B163" s="2" t="s">
        <x:v>56</x:v>
      </x:c>
      <x:c r="C163" s="9" t="s">
        <x:v>119</x:v>
      </x:c>
      <x:c r="D163" s="9">
        <x:v>6</x:v>
      </x:c>
      <x:c r="E163" s="9">
        <x:v>7</x:v>
      </x:c>
      <x:c r="F163" s="9">
        <x:v>15</x:v>
      </x:c>
      <x:c r="G163" s="16" t="s">
        <x:v>39</x:v>
      </x:c>
    </x:row>
    <x:row r="164" spans="1:7">
      <x:c r="A164" s="20" t="s">
        <x:v>71</x:v>
      </x:c>
      <x:c r="B164" s="2" t="s">
        <x:v>34</x:v>
      </x:c>
      <x:c r="C164" s="9" t="s">
        <x:v>114</x:v>
      </x:c>
      <x:c r="D164" s="9">
        <x:v>9</x:v>
      </x:c>
      <x:c r="E164" s="9">
        <x:v>3</x:v>
      </x:c>
      <x:c r="F164" s="9">
        <x:v>6</x:v>
      </x:c>
      <x:c r="G164" s="16" t="s">
        <x:v>39</x:v>
      </x:c>
    </x:row>
    <x:row r="165" spans="1:7">
      <x:c r="A165" s="20" t="s">
        <x:v>62</x:v>
      </x:c>
      <x:c r="B165" s="2" t="s">
        <x:v>25</x:v>
      </x:c>
      <x:c r="C165" s="9" t="s">
        <x:v>159</x:v>
      </x:c>
      <x:c r="D165" s="9">
        <x:v>14</x:v>
      </x:c>
      <x:c r="E165" s="9">
        <x:v>3</x:v>
      </x:c>
      <x:c r="F165" s="9">
        <x:v>10</x:v>
      </x:c>
      <x:c r="G165" s="16" t="s">
        <x:v>39</x:v>
      </x:c>
    </x:row>
    <x:row r="166" spans="1:7" ht="16.75">
      <x:c r="A166" s="21" t="s">
        <x:v>105</x:v>
      </x:c>
      <x:c r="B166" s="12" t="s">
        <x:v>72</x:v>
      </x:c>
      <x:c r="C166" s="13" t="s">
        <x:v>166</x:v>
      </x:c>
      <x:c r="D166" s="13">
        <x:v>0</x:v>
      </x:c>
      <x:c r="E166" s="13">
        <x:v>8</x:v>
      </x:c>
      <x:c r="F166" s="13">
        <x:v>16</x:v>
      </x:c>
      <x:c r="G166" s="17" t="s">
        <x:v>39</x:v>
      </x:c>
    </x:row>
    <x:row r="167" spans="1:7" ht="16.75">
      <x:c r="A167" s="19" t="s">
        <x:v>21</x:v>
      </x:c>
      <x:c r="B167" s="10" t="s">
        <x:v>33</x:v>
      </x:c>
      <x:c r="C167" s="11" t="s">
        <x:v>107</x:v>
      </x:c>
      <x:c r="D167" s="11">
        <x:v>13</x:v>
      </x:c>
      <x:c r="E167" s="11">
        <x:v>8</x:v>
      </x:c>
      <x:c r="F167" s="11">
        <x:v>3</x:v>
      </x:c>
      <x:c r="G167" s="18" t="s">
        <x:v>54</x:v>
      </x:c>
    </x:row>
    <x:row r="168" spans="1:7">
      <x:c r="A168" s="20" t="s">
        <x:v>60</x:v>
      </x:c>
      <x:c r="B168" s="2" t="s">
        <x:v>56</x:v>
      </x:c>
      <x:c r="C168" s="9" t="s">
        <x:v>88</x:v>
      </x:c>
      <x:c r="D168" s="9">
        <x:v>8</x:v>
      </x:c>
      <x:c r="E168" s="9">
        <x:v>9</x:v>
      </x:c>
      <x:c r="F168" s="9">
        <x:v>7</x:v>
      </x:c>
      <x:c r="G168" s="16" t="s">
        <x:v>54</x:v>
      </x:c>
    </x:row>
    <x:row r="169" spans="1:7">
      <x:c r="A169" s="20" t="s">
        <x:v>73</x:v>
      </x:c>
      <x:c r="B169" s="2" t="s">
        <x:v>34</x:v>
      </x:c>
      <x:c r="C169" s="9" t="s">
        <x:v>94</x:v>
      </x:c>
      <x:c r="D169" s="9">
        <x:v>4</x:v>
      </x:c>
      <x:c r="E169" s="9">
        <x:v>5</x:v>
      </x:c>
      <x:c r="F169" s="9">
        <x:v>6</x:v>
      </x:c>
      <x:c r="G169" s="16" t="s">
        <x:v>54</x:v>
      </x:c>
    </x:row>
    <x:row r="170" spans="1:7">
      <x:c r="A170" s="20" t="s">
        <x:v>76</x:v>
      </x:c>
      <x:c r="B170" s="2" t="s">
        <x:v>25</x:v>
      </x:c>
      <x:c r="C170" s="9" t="s">
        <x:v>112</x:v>
      </x:c>
      <x:c r="D170" s="9">
        <x:v>3</x:v>
      </x:c>
      <x:c r="E170" s="9">
        <x:v>7</x:v>
      </x:c>
      <x:c r="F170" s="9">
        <x:v>6</x:v>
      </x:c>
      <x:c r="G170" s="16" t="s">
        <x:v>54</x:v>
      </x:c>
    </x:row>
    <x:row r="171" spans="1:7" ht="16.75">
      <x:c r="A171" s="21" t="s">
        <x:v>70</x:v>
      </x:c>
      <x:c r="B171" s="12" t="s">
        <x:v>72</x:v>
      </x:c>
      <x:c r="C171" s="13" t="s">
        <x:v>98</x:v>
      </x:c>
      <x:c r="D171" s="13">
        <x:v>1</x:v>
      </x:c>
      <x:c r="E171" s="13">
        <x:v>8</x:v>
      </x:c>
      <x:c r="F171" s="13">
        <x:v>10</x:v>
      </x:c>
      <x:c r="G171" s="17" t="s">
        <x:v>54</x:v>
      </x:c>
    </x:row>
    <x:row r="173" spans="1:7">
      <x:c r="A173" s="1" t="s">
        <x:v>35</x:v>
      </x:c>
      <x:c r="B173" s="1" t="s">
        <x:v>30</x:v>
      </x:c>
      <x:c r="C173" s="1" t="s">
        <x:v>0</x:v>
      </x:c>
      <x:c r="D173" s="24" t="s">
        <x:v>19</x:v>
      </x:c>
      <x:c r="E173" s="24" t="s">
        <x:v>26</x:v>
      </x:c>
      <x:c r="F173" s="24" t="s">
        <x:v>32</x:v>
      </x:c>
      <x:c r="G173" s="1" t="s">
        <x:v>36</x:v>
      </x:c>
    </x:row>
    <x:row r="174" spans="1:7" ht="16.75">
      <x:c r="A174" s="22" t="s">
        <x:v>76</x:v>
      </x:c>
      <x:c r="B174" s="14" t="s">
        <x:v>33</x:v>
      </x:c>
      <x:c r="C174" s="23" t="s">
        <x:v>100</x:v>
      </x:c>
      <x:c r="D174" s="23">
        <x:v>6</x:v>
      </x:c>
      <x:c r="E174" s="23">
        <x:v>3</x:v>
      </x:c>
      <x:c r="F174" s="23">
        <x:v>4</x:v>
      </x:c>
      <x:c r="G174" s="15" t="s">
        <x:v>39</x:v>
      </x:c>
    </x:row>
    <x:row r="175" spans="1:7">
      <x:c r="A175" s="20" t="s">
        <x:v>21</x:v>
      </x:c>
      <x:c r="B175" s="2" t="s">
        <x:v>56</x:v>
      </x:c>
      <x:c r="C175" s="9" t="s">
        <x:v>88</x:v>
      </x:c>
      <x:c r="D175" s="9">
        <x:v>5</x:v>
      </x:c>
      <x:c r="E175" s="9">
        <x:v>5</x:v>
      </x:c>
      <x:c r="F175" s="9">
        <x:v>10</x:v>
      </x:c>
      <x:c r="G175" s="16" t="s">
        <x:v>39</x:v>
      </x:c>
    </x:row>
    <x:row r="176" spans="1:7">
      <x:c r="A176" s="20" t="s">
        <x:v>55</x:v>
      </x:c>
      <x:c r="B176" s="2" t="s">
        <x:v>34</x:v>
      </x:c>
      <x:c r="C176" s="9" t="s">
        <x:v>40</x:v>
      </x:c>
      <x:c r="D176" s="9">
        <x:v>0</x:v>
      </x:c>
      <x:c r="E176" s="9">
        <x:v>4</x:v>
      </x:c>
      <x:c r="F176" s="9">
        <x:v>11</x:v>
      </x:c>
      <x:c r="G176" s="16" t="s">
        <x:v>39</x:v>
      </x:c>
    </x:row>
    <x:row r="177" spans="1:7">
      <x:c r="A177" s="20" t="s">
        <x:v>28</x:v>
      </x:c>
      <x:c r="B177" s="2" t="s">
        <x:v>25</x:v>
      </x:c>
      <x:c r="C177" s="9" t="s">
        <x:v>96</x:v>
      </x:c>
      <x:c r="D177" s="9">
        <x:v>16</x:v>
      </x:c>
      <x:c r="E177" s="9">
        <x:v>1</x:v>
      </x:c>
      <x:c r="F177" s="9">
        <x:v>5</x:v>
      </x:c>
      <x:c r="G177" s="16" t="s">
        <x:v>39</x:v>
      </x:c>
    </x:row>
    <x:row r="178" spans="1:7" ht="16.75">
      <x:c r="A178" s="21" t="s">
        <x:v>71</x:v>
      </x:c>
      <x:c r="B178" s="12" t="s">
        <x:v>72</x:v>
      </x:c>
      <x:c r="C178" s="13" t="s">
        <x:v>86</x:v>
      </x:c>
      <x:c r="D178" s="13">
        <x:v>9</x:v>
      </x:c>
      <x:c r="E178" s="13">
        <x:v>2</x:v>
      </x:c>
      <x:c r="F178" s="13">
        <x:v>12</x:v>
      </x:c>
      <x:c r="G178" s="17" t="s">
        <x:v>39</x:v>
      </x:c>
    </x:row>
    <x:row r="179" spans="1:7" ht="16.75">
      <x:c r="A179" s="19" t="s">
        <x:v>47</x:v>
      </x:c>
      <x:c r="B179" s="10" t="s">
        <x:v>33</x:v>
      </x:c>
      <x:c r="C179" s="9" t="s">
        <x:v>109</x:v>
      </x:c>
      <x:c r="D179" s="11">
        <x:v>6</x:v>
      </x:c>
      <x:c r="E179" s="11">
        <x:v>7</x:v>
      </x:c>
      <x:c r="F179" s="11">
        <x:v>0</x:v>
      </x:c>
      <x:c r="G179" s="18" t="s">
        <x:v>54</x:v>
      </x:c>
    </x:row>
    <x:row r="180" spans="1:7">
      <x:c r="A180" s="20" t="s">
        <x:v>60</x:v>
      </x:c>
      <x:c r="B180" s="2" t="s">
        <x:v>56</x:v>
      </x:c>
      <x:c r="C180" s="41" t="s">
        <x:v>97</x:v>
      </x:c>
      <x:c r="D180" s="9">
        <x:v>4</x:v>
      </x:c>
      <x:c r="E180" s="9">
        <x:v>7</x:v>
      </x:c>
      <x:c r="F180" s="9">
        <x:v>1</x:v>
      </x:c>
      <x:c r="G180" s="16" t="s">
        <x:v>54</x:v>
      </x:c>
    </x:row>
    <x:row r="181" spans="1:7">
      <x:c r="A181" s="20" t="s">
        <x:v>73</x:v>
      </x:c>
      <x:c r="B181" s="2" t="s">
        <x:v>34</x:v>
      </x:c>
      <x:c r="C181" s="9" t="s">
        <x:v>114</x:v>
      </x:c>
      <x:c r="D181" s="9">
        <x:v>5</x:v>
      </x:c>
      <x:c r="E181" s="9">
        <x:v>4</x:v>
      </x:c>
      <x:c r="F181" s="9">
        <x:v>2</x:v>
      </x:c>
      <x:c r="G181" s="16" t="s">
        <x:v>54</x:v>
      </x:c>
    </x:row>
    <x:row r="182" spans="1:7">
      <x:c r="A182" s="20" t="s">
        <x:v>57</x:v>
      </x:c>
      <x:c r="B182" s="2" t="s">
        <x:v>25</x:v>
      </x:c>
      <x:c r="C182" s="9" t="s">
        <x:v>156</x:v>
      </x:c>
      <x:c r="D182" s="9">
        <x:v>0</x:v>
      </x:c>
      <x:c r="E182" s="9">
        <x:v>13</x:v>
      </x:c>
      <x:c r="F182" s="9">
        <x:v>2</x:v>
      </x:c>
      <x:c r="G182" s="16" t="s">
        <x:v>54</x:v>
      </x:c>
    </x:row>
    <x:row r="183" spans="1:7" ht="16.75">
      <x:c r="A183" s="21" t="s">
        <x:v>70</x:v>
      </x:c>
      <x:c r="B183" s="12" t="s">
        <x:v>72</x:v>
      </x:c>
      <x:c r="C183" s="13" t="s">
        <x:v>157</x:v>
      </x:c>
      <x:c r="D183" s="13">
        <x:v>0</x:v>
      </x:c>
      <x:c r="E183" s="13">
        <x:v>5</x:v>
      </x:c>
      <x:c r="F183" s="13">
        <x:v>3</x:v>
      </x:c>
      <x:c r="G183" s="17" t="s">
        <x:v>54</x:v>
      </x:c>
    </x:row>
    <x:row r="185" spans="1:7">
      <x:c r="A185" s="1" t="s">
        <x:v>35</x:v>
      </x:c>
      <x:c r="B185" s="1" t="s">
        <x:v>30</x:v>
      </x:c>
      <x:c r="C185" s="1" t="s">
        <x:v>0</x:v>
      </x:c>
      <x:c r="D185" s="24" t="s">
        <x:v>19</x:v>
      </x:c>
      <x:c r="E185" s="24" t="s">
        <x:v>26</x:v>
      </x:c>
      <x:c r="F185" s="24" t="s">
        <x:v>32</x:v>
      </x:c>
      <x:c r="G185" s="1" t="s">
        <x:v>36</x:v>
      </x:c>
    </x:row>
    <x:row r="186" spans="1:7" ht="16.75">
      <x:c r="A186" s="22" t="s">
        <x:v>71</x:v>
      </x:c>
      <x:c r="B186" s="14" t="s">
        <x:v>33</x:v>
      </x:c>
      <x:c r="C186" s="23" t="s">
        <x:v>179</x:v>
      </x:c>
      <x:c r="D186" s="23">
        <x:v>15</x:v>
      </x:c>
      <x:c r="E186" s="23">
        <x:v>4</x:v>
      </x:c>
      <x:c r="F186" s="23">
        <x:v>16</x:v>
      </x:c>
      <x:c r="G186" s="15" t="s">
        <x:v>39</x:v>
      </x:c>
    </x:row>
    <x:row r="187" spans="1:7">
      <x:c r="A187" s="20" t="s">
        <x:v>55</x:v>
      </x:c>
      <x:c r="B187" s="2" t="s">
        <x:v>56</x:v>
      </x:c>
      <x:c r="C187" s="9" t="s">
        <x:v>92</x:v>
      </x:c>
      <x:c r="D187" s="9">
        <x:v>11</x:v>
      </x:c>
      <x:c r="E187" s="9">
        <x:v>13</x:v>
      </x:c>
      <x:c r="F187" s="9">
        <x:v>20</x:v>
      </x:c>
      <x:c r="G187" s="16" t="s">
        <x:v>39</x:v>
      </x:c>
    </x:row>
    <x:row r="188" spans="1:7">
      <x:c r="A188" s="20" t="s">
        <x:v>73</x:v>
      </x:c>
      <x:c r="B188" s="2" t="s">
        <x:v>34</x:v>
      </x:c>
      <x:c r="C188" s="9" t="s">
        <x:v>83</x:v>
      </x:c>
      <x:c r="D188" s="9">
        <x:v>8</x:v>
      </x:c>
      <x:c r="E188" s="9">
        <x:v>10</x:v>
      </x:c>
      <x:c r="F188" s="9">
        <x:v>17</x:v>
      </x:c>
      <x:c r="G188" s="16" t="s">
        <x:v>39</x:v>
      </x:c>
    </x:row>
    <x:row r="189" spans="1:7">
      <x:c r="A189" s="20" t="s">
        <x:v>57</x:v>
      </x:c>
      <x:c r="B189" s="2" t="s">
        <x:v>25</x:v>
      </x:c>
      <x:c r="C189" s="9" t="s">
        <x:v>87</x:v>
      </x:c>
      <x:c r="D189" s="9">
        <x:v>8</x:v>
      </x:c>
      <x:c r="E189" s="9">
        <x:v>12</x:v>
      </x:c>
      <x:c r="F189" s="9">
        <x:v>12</x:v>
      </x:c>
      <x:c r="G189" s="16" t="s">
        <x:v>39</x:v>
      </x:c>
    </x:row>
    <x:row r="190" spans="1:7" ht="16.75">
      <x:c r="A190" s="21" t="s">
        <x:v>21</x:v>
      </x:c>
      <x:c r="B190" s="12" t="s">
        <x:v>72</x:v>
      </x:c>
      <x:c r="C190" s="13" t="s">
        <x:v>67</x:v>
      </x:c>
      <x:c r="D190" s="13">
        <x:v>12</x:v>
      </x:c>
      <x:c r="E190" s="13">
        <x:v>8</x:v>
      </x:c>
      <x:c r="F190" s="13">
        <x:v>22</x:v>
      </x:c>
      <x:c r="G190" s="17" t="s">
        <x:v>39</x:v>
      </x:c>
    </x:row>
    <x:row r="191" spans="1:7" ht="16.75">
      <x:c r="A191" s="19" t="s">
        <x:v>76</x:v>
      </x:c>
      <x:c r="B191" s="10" t="s">
        <x:v>33</x:v>
      </x:c>
      <x:c r="C191" s="11" t="s">
        <x:v>121</x:v>
      </x:c>
      <x:c r="D191" s="11">
        <x:v>2</x:v>
      </x:c>
      <x:c r="E191" s="11">
        <x:v>13</x:v>
      </x:c>
      <x:c r="F191" s="11">
        <x:v>8</x:v>
      </x:c>
      <x:c r="G191" s="18" t="s">
        <x:v>54</x:v>
      </x:c>
    </x:row>
    <x:row r="192" spans="1:7">
      <x:c r="A192" s="20" t="s">
        <x:v>60</x:v>
      </x:c>
      <x:c r="B192" s="2" t="s">
        <x:v>56</x:v>
      </x:c>
      <x:c r="C192" s="9" t="s">
        <x:v>172</x:v>
      </x:c>
      <x:c r="D192" s="9">
        <x:v>1</x:v>
      </x:c>
      <x:c r="E192" s="9">
        <x:v>14</x:v>
      </x:c>
      <x:c r="F192" s="9">
        <x:v>15</x:v>
      </x:c>
      <x:c r="G192" s="16" t="s">
        <x:v>54</x:v>
      </x:c>
    </x:row>
    <x:row r="193" spans="1:7">
      <x:c r="A193" s="20" t="s">
        <x:v>47</x:v>
      </x:c>
      <x:c r="B193" s="2" t="s">
        <x:v>34</x:v>
      </x:c>
      <x:c r="C193" s="9" t="s">
        <x:v>114</x:v>
      </x:c>
      <x:c r="D193" s="9">
        <x:v>22</x:v>
      </x:c>
      <x:c r="E193" s="9">
        <x:v>11</x:v>
      </x:c>
      <x:c r="F193" s="9">
        <x:v>5</x:v>
      </x:c>
      <x:c r="G193" s="16" t="s">
        <x:v>54</x:v>
      </x:c>
    </x:row>
    <x:row r="194" spans="1:7">
      <x:c r="A194" s="20" t="s">
        <x:v>70</x:v>
      </x:c>
      <x:c r="B194" s="2" t="s">
        <x:v>25</x:v>
      </x:c>
      <x:c r="C194" s="9" t="s">
        <x:v>159</x:v>
      </x:c>
      <x:c r="D194" s="9">
        <x:v>7</x:v>
      </x:c>
      <x:c r="E194" s="9">
        <x:v>7</x:v>
      </x:c>
      <x:c r="F194" s="9">
        <x:v>9</x:v>
      </x:c>
      <x:c r="G194" s="16" t="s">
        <x:v>54</x:v>
      </x:c>
    </x:row>
    <x:row r="195" spans="1:7" ht="16.75">
      <x:c r="A195" s="21" t="s">
        <x:v>28</x:v>
      </x:c>
      <x:c r="B195" s="12" t="s">
        <x:v>72</x:v>
      </x:c>
      <x:c r="C195" s="13" t="s">
        <x:v>104</x:v>
      </x:c>
      <x:c r="D195" s="13">
        <x:v>12</x:v>
      </x:c>
      <x:c r="E195" s="13">
        <x:v>9</x:v>
      </x:c>
      <x:c r="F195" s="13">
        <x:v>12</x:v>
      </x:c>
      <x:c r="G195" s="17" t="s">
        <x:v>54</x:v>
      </x:c>
    </x:row>
    <x:row r="197" spans="1:7">
      <x:c r="A197" s="1" t="s">
        <x:v>35</x:v>
      </x:c>
      <x:c r="B197" s="1" t="s">
        <x:v>30</x:v>
      </x:c>
      <x:c r="C197" s="1" t="s">
        <x:v>0</x:v>
      </x:c>
      <x:c r="D197" s="24" t="s">
        <x:v>19</x:v>
      </x:c>
      <x:c r="E197" s="24" t="s">
        <x:v>26</x:v>
      </x:c>
      <x:c r="F197" s="24" t="s">
        <x:v>32</x:v>
      </x:c>
      <x:c r="G197" s="1" t="s">
        <x:v>36</x:v>
      </x:c>
    </x:row>
    <x:row r="198" spans="1:7" ht="16.75">
      <x:c r="A198" s="22" t="s">
        <x:v>76</x:v>
      </x:c>
      <x:c r="B198" s="14" t="s">
        <x:v>33</x:v>
      </x:c>
      <x:c r="C198" s="23" t="s">
        <x:v>140</x:v>
      </x:c>
      <x:c r="D198" s="23">
        <x:v>6</x:v>
      </x:c>
      <x:c r="E198" s="23">
        <x:v>8</x:v>
      </x:c>
      <x:c r="F198" s="23">
        <x:v>4</x:v>
      </x:c>
      <x:c r="G198" s="15" t="s">
        <x:v>39</x:v>
      </x:c>
    </x:row>
    <x:row r="199" spans="1:7">
      <x:c r="A199" s="20" t="s">
        <x:v>60</x:v>
      </x:c>
      <x:c r="B199" s="2" t="s">
        <x:v>56</x:v>
      </x:c>
      <x:c r="C199" s="9" t="s">
        <x:v>177</x:v>
      </x:c>
      <x:c r="D199" s="9">
        <x:v>14</x:v>
      </x:c>
      <x:c r="E199" s="9">
        <x:v>2</x:v>
      </x:c>
      <x:c r="F199" s="9">
        <x:v>14</x:v>
      </x:c>
      <x:c r="G199" s="16" t="s">
        <x:v>39</x:v>
      </x:c>
    </x:row>
    <x:row r="200" spans="1:7">
      <x:c r="A200" s="20" t="s">
        <x:v>47</x:v>
      </x:c>
      <x:c r="B200" s="2" t="s">
        <x:v>34</x:v>
      </x:c>
      <x:c r="C200" s="9" t="s">
        <x:v>134</x:v>
      </x:c>
      <x:c r="D200" s="9">
        <x:v>6</x:v>
      </x:c>
      <x:c r="E200" s="9">
        <x:v>7</x:v>
      </x:c>
      <x:c r="F200" s="9">
        <x:v>13</x:v>
      </x:c>
      <x:c r="G200" s="16" t="s">
        <x:v>39</x:v>
      </x:c>
    </x:row>
    <x:row r="201" spans="1:7">
      <x:c r="A201" s="20" t="s">
        <x:v>70</x:v>
      </x:c>
      <x:c r="B201" s="2" t="s">
        <x:v>25</x:v>
      </x:c>
      <x:c r="C201" s="9" t="s">
        <x:v>111</x:v>
      </x:c>
      <x:c r="D201" s="9">
        <x:v>11</x:v>
      </x:c>
      <x:c r="E201" s="9">
        <x:v>3</x:v>
      </x:c>
      <x:c r="F201" s="9">
        <x:v>7</x:v>
      </x:c>
      <x:c r="G201" s="16" t="s">
        <x:v>39</x:v>
      </x:c>
    </x:row>
    <x:row r="202" spans="1:7" ht="16.75">
      <x:c r="A202" s="21" t="s">
        <x:v>28</x:v>
      </x:c>
      <x:c r="B202" s="12" t="s">
        <x:v>72</x:v>
      </x:c>
      <x:c r="C202" s="13" t="s">
        <x:v>103</x:v>
      </x:c>
      <x:c r="D202" s="13">
        <x:v>2</x:v>
      </x:c>
      <x:c r="E202" s="13">
        <x:v>6</x:v>
      </x:c>
      <x:c r="F202" s="13">
        <x:v>16</x:v>
      </x:c>
      <x:c r="G202" s="17" t="s">
        <x:v>39</x:v>
      </x:c>
    </x:row>
    <x:row r="203" spans="1:7" ht="16.75">
      <x:c r="A203" s="19" t="s">
        <x:v>71</x:v>
      </x:c>
      <x:c r="B203" s="10" t="s">
        <x:v>33</x:v>
      </x:c>
      <x:c r="C203" s="11" t="s">
        <x:v>187</x:v>
      </x:c>
      <x:c r="D203" s="11">
        <x:v>5</x:v>
      </x:c>
      <x:c r="E203" s="11">
        <x:v>6</x:v>
      </x:c>
      <x:c r="F203" s="11">
        <x:v>2</x:v>
      </x:c>
      <x:c r="G203" s="18" t="s">
        <x:v>54</x:v>
      </x:c>
    </x:row>
    <x:row r="204" spans="1:7">
      <x:c r="A204" s="20" t="s">
        <x:v>55</x:v>
      </x:c>
      <x:c r="B204" s="2" t="s">
        <x:v>56</x:v>
      </x:c>
      <x:c r="C204" s="9" t="s">
        <x:v>97</x:v>
      </x:c>
      <x:c r="D204" s="9">
        <x:v>6</x:v>
      </x:c>
      <x:c r="E204" s="9">
        <x:v>9</x:v>
      </x:c>
      <x:c r="F204" s="9">
        <x:v>6</x:v>
      </x:c>
      <x:c r="G204" s="16" t="s">
        <x:v>54</x:v>
      </x:c>
    </x:row>
    <x:row r="205" spans="1:7">
      <x:c r="A205" s="20" t="s">
        <x:v>73</x:v>
      </x:c>
      <x:c r="B205" s="2" t="s">
        <x:v>34</x:v>
      </x:c>
      <x:c r="C205" s="9" t="s">
        <x:v>99</x:v>
      </x:c>
      <x:c r="D205" s="9">
        <x:v>3</x:v>
      </x:c>
      <x:c r="E205" s="9">
        <x:v>9</x:v>
      </x:c>
      <x:c r="F205" s="9">
        <x:v>5</x:v>
      </x:c>
      <x:c r="G205" s="16" t="s">
        <x:v>54</x:v>
      </x:c>
    </x:row>
    <x:row r="206" spans="1:7">
      <x:c r="A206" s="20" t="s">
        <x:v>57</x:v>
      </x:c>
      <x:c r="B206" s="2" t="s">
        <x:v>25</x:v>
      </x:c>
      <x:c r="C206" s="9" t="s">
        <x:v>176</x:v>
      </x:c>
      <x:c r="D206" s="9">
        <x:v>6</x:v>
      </x:c>
      <x:c r="E206" s="9">
        <x:v>5</x:v>
      </x:c>
      <x:c r="F206" s="9">
        <x:v>4</x:v>
      </x:c>
      <x:c r="G206" s="16" t="s">
        <x:v>54</x:v>
      </x:c>
    </x:row>
    <x:row r="207" spans="1:7" ht="16.75">
      <x:c r="A207" s="21" t="s">
        <x:v>21</x:v>
      </x:c>
      <x:c r="B207" s="12" t="s">
        <x:v>72</x:v>
      </x:c>
      <x:c r="C207" s="13" t="s">
        <x:v>101</x:v>
      </x:c>
      <x:c r="D207" s="13">
        <x:v>6</x:v>
      </x:c>
      <x:c r="E207" s="13">
        <x:v>10</x:v>
      </x:c>
      <x:c r="F207" s="13">
        <x:v>10</x:v>
      </x:c>
      <x:c r="G207" s="17" t="s">
        <x:v>54</x:v>
      </x:c>
    </x:row>
    <x:row r="209" spans="1:7">
      <x:c r="A209" s="1" t="s">
        <x:v>35</x:v>
      </x:c>
      <x:c r="B209" s="1" t="s">
        <x:v>30</x:v>
      </x:c>
      <x:c r="C209" s="1" t="s">
        <x:v>0</x:v>
      </x:c>
      <x:c r="D209" s="24" t="s">
        <x:v>19</x:v>
      </x:c>
      <x:c r="E209" s="24" t="s">
        <x:v>26</x:v>
      </x:c>
      <x:c r="F209" s="24" t="s">
        <x:v>32</x:v>
      </x:c>
      <x:c r="G209" s="1" t="s">
        <x:v>36</x:v>
      </x:c>
    </x:row>
    <x:row r="210" spans="1:7" ht="16.75">
      <x:c r="A210" s="22" t="s">
        <x:v>76</x:v>
      </x:c>
      <x:c r="B210" s="14" t="s">
        <x:v>33</x:v>
      </x:c>
      <x:c r="C210" s="23" t="s">
        <x:v>79</x:v>
      </x:c>
      <x:c r="D210" s="23">
        <x:v>6</x:v>
      </x:c>
      <x:c r="E210" s="23">
        <x:v>4</x:v>
      </x:c>
      <x:c r="F210" s="23">
        <x:v>6</x:v>
      </x:c>
      <x:c r="G210" s="15" t="s">
        <x:v>39</x:v>
      </x:c>
    </x:row>
    <x:row r="211" spans="1:7">
      <x:c r="A211" s="20" t="s">
        <x:v>44</x:v>
      </x:c>
      <x:c r="B211" s="2" t="s">
        <x:v>56</x:v>
      </x:c>
      <x:c r="C211" s="9" t="s">
        <x:v>88</x:v>
      </x:c>
      <x:c r="D211" s="9">
        <x:v>4</x:v>
      </x:c>
      <x:c r="E211" s="9">
        <x:v>5</x:v>
      </x:c>
      <x:c r="F211" s="9">
        <x:v>7</x:v>
      </x:c>
      <x:c r="G211" s="16" t="s">
        <x:v>39</x:v>
      </x:c>
    </x:row>
    <x:row r="212" spans="1:7">
      <x:c r="A212" s="20" t="s">
        <x:v>37</x:v>
      </x:c>
      <x:c r="B212" s="2" t="s">
        <x:v>34</x:v>
      </x:c>
      <x:c r="C212" s="9" t="s">
        <x:v>66</x:v>
      </x:c>
      <x:c r="D212" s="9">
        <x:v>16</x:v>
      </x:c>
      <x:c r="E212" s="9">
        <x:v>6</x:v>
      </x:c>
      <x:c r="F212" s="9">
        <x:v>4</x:v>
      </x:c>
      <x:c r="G212" s="16" t="s">
        <x:v>39</x:v>
      </x:c>
    </x:row>
    <x:row r="213" spans="1:7">
      <x:c r="A213" s="20" t="s">
        <x:v>50</x:v>
      </x:c>
      <x:c r="B213" s="2" t="s">
        <x:v>25</x:v>
      </x:c>
      <x:c r="C213" s="9" t="s">
        <x:v>69</x:v>
      </x:c>
      <x:c r="D213" s="9">
        <x:v>8</x:v>
      </x:c>
      <x:c r="E213" s="9">
        <x:v>1</x:v>
      </x:c>
      <x:c r="F213" s="9">
        <x:v>11</x:v>
      </x:c>
      <x:c r="G213" s="16" t="s">
        <x:v>39</x:v>
      </x:c>
    </x:row>
    <x:row r="214" spans="1:7" ht="16.75">
      <x:c r="A214" s="21" t="s">
        <x:v>71</x:v>
      </x:c>
      <x:c r="B214" s="12" t="s">
        <x:v>72</x:v>
      </x:c>
      <x:c r="C214" s="13" t="s">
        <x:v>136</x:v>
      </x:c>
      <x:c r="D214" s="13">
        <x:v>1</x:v>
      </x:c>
      <x:c r="E214" s="13">
        <x:v>1</x:v>
      </x:c>
      <x:c r="F214" s="13">
        <x:v>20</x:v>
      </x:c>
      <x:c r="G214" s="17" t="s">
        <x:v>39</x:v>
      </x:c>
    </x:row>
    <x:row r="215" spans="1:7" ht="16.75">
      <x:c r="A215" s="19" t="s">
        <x:v>60</x:v>
      </x:c>
      <x:c r="B215" s="10" t="s">
        <x:v>33</x:v>
      </x:c>
      <x:c r="C215" s="11" t="s">
        <x:v>170</x:v>
      </x:c>
      <x:c r="D215" s="11">
        <x:v>4</x:v>
      </x:c>
      <x:c r="E215" s="11">
        <x:v>8</x:v>
      </x:c>
      <x:c r="F215" s="11">
        <x:v>2</x:v>
      </x:c>
      <x:c r="G215" s="18" t="s">
        <x:v>54</x:v>
      </x:c>
    </x:row>
    <x:row r="216" spans="1:7">
      <x:c r="A216" s="20" t="s">
        <x:v>21</x:v>
      </x:c>
      <x:c r="B216" s="2" t="s">
        <x:v>56</x:v>
      </x:c>
      <x:c r="C216" s="9" t="s">
        <x:v>116</x:v>
      </x:c>
      <x:c r="D216" s="9">
        <x:v>4</x:v>
      </x:c>
      <x:c r="E216" s="9">
        <x:v>4</x:v>
      </x:c>
      <x:c r="F216" s="9">
        <x:v>8</x:v>
      </x:c>
      <x:c r="G216" s="16" t="s">
        <x:v>54</x:v>
      </x:c>
    </x:row>
    <x:row r="217" spans="1:7">
      <x:c r="A217" s="20" t="s">
        <x:v>73</x:v>
      </x:c>
      <x:c r="B217" s="2" t="s">
        <x:v>34</x:v>
      </x:c>
      <x:c r="C217" s="9" t="s">
        <x:v>108</x:v>
      </x:c>
      <x:c r="D217" s="9">
        <x:v>8</x:v>
      </x:c>
      <x:c r="E217" s="9">
        <x:v>9</x:v>
      </x:c>
      <x:c r="F217" s="9">
        <x:v>5</x:v>
      </x:c>
      <x:c r="G217" s="16" t="s">
        <x:v>54</x:v>
      </x:c>
    </x:row>
    <x:row r="218" spans="1:7">
      <x:c r="A218" s="20" t="s">
        <x:v>57</x:v>
      </x:c>
      <x:c r="B218" s="2" t="s">
        <x:v>25</x:v>
      </x:c>
      <x:c r="C218" s="9" t="s">
        <x:v>96</x:v>
      </x:c>
      <x:c r="D218" s="9">
        <x:v>0</x:v>
      </x:c>
      <x:c r="E218" s="9">
        <x:v>9</x:v>
      </x:c>
      <x:c r="F218" s="9">
        <x:v>2</x:v>
      </x:c>
      <x:c r="G218" s="16" t="s">
        <x:v>54</x:v>
      </x:c>
    </x:row>
    <x:row r="219" spans="1:7" ht="16.75">
      <x:c r="A219" s="21" t="s">
        <x:v>105</x:v>
      </x:c>
      <x:c r="B219" s="12" t="s">
        <x:v>72</x:v>
      </x:c>
      <x:c r="C219" s="13" t="s">
        <x:v>160</x:v>
      </x:c>
      <x:c r="D219" s="13">
        <x:v>1</x:v>
      </x:c>
      <x:c r="E219" s="13">
        <x:v>5</x:v>
      </x:c>
      <x:c r="F219" s="13">
        <x:v>7</x:v>
      </x:c>
      <x:c r="G219" s="17" t="s">
        <x:v>54</x:v>
      </x:c>
    </x:row>
    <x:row r="221" spans="1:7">
      <x:c r="A221" s="1" t="s">
        <x:v>35</x:v>
      </x:c>
      <x:c r="B221" s="1" t="s">
        <x:v>30</x:v>
      </x:c>
      <x:c r="C221" s="1" t="s">
        <x:v>0</x:v>
      </x:c>
      <x:c r="D221" s="24" t="s">
        <x:v>19</x:v>
      </x:c>
      <x:c r="E221" s="24" t="s">
        <x:v>26</x:v>
      </x:c>
      <x:c r="F221" s="24" t="s">
        <x:v>32</x:v>
      </x:c>
      <x:c r="G221" s="1" t="s">
        <x:v>36</x:v>
      </x:c>
    </x:row>
    <x:row r="222" spans="1:7" ht="16.75">
      <x:c r="A222" s="22" t="s">
        <x:v>76</x:v>
      </x:c>
      <x:c r="B222" s="14" t="s">
        <x:v>33</x:v>
      </x:c>
      <x:c r="C222" s="23" t="s">
        <x:v>65</x:v>
      </x:c>
      <x:c r="D222" s="23">
        <x:v>3</x:v>
      </x:c>
      <x:c r="E222" s="23">
        <x:v>12</x:v>
      </x:c>
      <x:c r="F222" s="23">
        <x:v>17</x:v>
      </x:c>
      <x:c r="G222" s="15" t="s">
        <x:v>39</x:v>
      </x:c>
    </x:row>
    <x:row r="223" spans="1:7">
      <x:c r="A223" s="20" t="s">
        <x:v>44</x:v>
      </x:c>
      <x:c r="B223" s="2" t="s">
        <x:v>56</x:v>
      </x:c>
      <x:c r="C223" s="9" t="s">
        <x:v>68</x:v>
      </x:c>
      <x:c r="D223" s="9">
        <x:v>12</x:v>
      </x:c>
      <x:c r="E223" s="9">
        <x:v>9</x:v>
      </x:c>
      <x:c r="F223" s="9">
        <x:v>11</x:v>
      </x:c>
      <x:c r="G223" s="16" t="s">
        <x:v>39</x:v>
      </x:c>
    </x:row>
    <x:row r="224" spans="1:7">
      <x:c r="A224" s="20" t="s">
        <x:v>37</x:v>
      </x:c>
      <x:c r="B224" s="2" t="s">
        <x:v>34</x:v>
      </x:c>
      <x:c r="C224" s="9" t="s">
        <x:v>110</x:v>
      </x:c>
      <x:c r="D224" s="9">
        <x:v>5</x:v>
      </x:c>
      <x:c r="E224" s="9">
        <x:v>9</x:v>
      </x:c>
      <x:c r="F224" s="9">
        <x:v>18</x:v>
      </x:c>
      <x:c r="G224" s="16" t="s">
        <x:v>39</x:v>
      </x:c>
    </x:row>
    <x:row r="225" spans="1:7">
      <x:c r="A225" s="20" t="s">
        <x:v>50</x:v>
      </x:c>
      <x:c r="B225" s="2" t="s">
        <x:v>25</x:v>
      </x:c>
      <x:c r="C225" s="9" t="s">
        <x:v>111</x:v>
      </x:c>
      <x:c r="D225" s="9">
        <x:v>16</x:v>
      </x:c>
      <x:c r="E225" s="9">
        <x:v>7</x:v>
      </x:c>
      <x:c r="F225" s="9">
        <x:v>12</x:v>
      </x:c>
      <x:c r="G225" s="16" t="s">
        <x:v>39</x:v>
      </x:c>
    </x:row>
    <x:row r="226" spans="1:7" ht="16.75">
      <x:c r="A226" s="21" t="s">
        <x:v>71</x:v>
      </x:c>
      <x:c r="B226" s="12" t="s">
        <x:v>72</x:v>
      </x:c>
      <x:c r="C226" s="13" t="s">
        <x:v>103</x:v>
      </x:c>
      <x:c r="D226" s="13">
        <x:v>5</x:v>
      </x:c>
      <x:c r="E226" s="13">
        <x:v>6</x:v>
      </x:c>
      <x:c r="F226" s="13">
        <x:v>20</x:v>
      </x:c>
      <x:c r="G226" s="17" t="s">
        <x:v>39</x:v>
      </x:c>
    </x:row>
    <x:row r="227" spans="1:7" ht="16.75">
      <x:c r="A227" s="19" t="s">
        <x:v>60</x:v>
      </x:c>
      <x:c r="B227" s="10" t="s">
        <x:v>33</x:v>
      </x:c>
      <x:c r="C227" s="11" t="s">
        <x:v>97</x:v>
      </x:c>
      <x:c r="D227" s="11">
        <x:v>10</x:v>
      </x:c>
      <x:c r="E227" s="11">
        <x:v>9</x:v>
      </x:c>
      <x:c r="F227" s="11">
        <x:v>10</x:v>
      </x:c>
      <x:c r="G227" s="18" t="s">
        <x:v>54</x:v>
      </x:c>
    </x:row>
    <x:row r="228" spans="1:7">
      <x:c r="A228" s="20" t="s">
        <x:v>21</x:v>
      </x:c>
      <x:c r="B228" s="2" t="s">
        <x:v>56</x:v>
      </x:c>
      <x:c r="C228" s="9" t="s">
        <x:v>84</x:v>
      </x:c>
      <x:c r="D228" s="9">
        <x:v>4</x:v>
      </x:c>
      <x:c r="E228" s="9">
        <x:v>11</x:v>
      </x:c>
      <x:c r="F228" s="9">
        <x:v>19</x:v>
      </x:c>
      <x:c r="G228" s="16" t="s">
        <x:v>54</x:v>
      </x:c>
    </x:row>
    <x:row r="229" spans="1:7">
      <x:c r="A229" s="20" t="s">
        <x:v>73</x:v>
      </x:c>
      <x:c r="B229" s="2" t="s">
        <x:v>34</x:v>
      </x:c>
      <x:c r="C229" s="9" t="s">
        <x:v>188</x:v>
      </x:c>
      <x:c r="D229" s="9">
        <x:v>13</x:v>
      </x:c>
      <x:c r="E229" s="9">
        <x:v>7</x:v>
      </x:c>
      <x:c r="F229" s="9">
        <x:v>10</x:v>
      </x:c>
      <x:c r="G229" s="16" t="s">
        <x:v>54</x:v>
      </x:c>
    </x:row>
    <x:row r="230" spans="1:7">
      <x:c r="A230" s="20" t="s">
        <x:v>57</x:v>
      </x:c>
      <x:c r="B230" s="2" t="s">
        <x:v>25</x:v>
      </x:c>
      <x:c r="C230" s="9" t="s">
        <x:v>176</x:v>
      </x:c>
      <x:c r="D230" s="9">
        <x:v>16</x:v>
      </x:c>
      <x:c r="E230" s="9">
        <x:v>8</x:v>
      </x:c>
      <x:c r="F230" s="9">
        <x:v>9</x:v>
      </x:c>
      <x:c r="G230" s="16" t="s">
        <x:v>54</x:v>
      </x:c>
    </x:row>
    <x:row r="231" spans="1:7" ht="16.75">
      <x:c r="A231" s="21" t="s">
        <x:v>105</x:v>
      </x:c>
      <x:c r="B231" s="12" t="s">
        <x:v>72</x:v>
      </x:c>
      <x:c r="C231" s="13" t="s">
        <x:v>157</x:v>
      </x:c>
      <x:c r="D231" s="13">
        <x:v>0</x:v>
      </x:c>
      <x:c r="E231" s="13">
        <x:v>6</x:v>
      </x:c>
      <x:c r="F231" s="13">
        <x:v>21</x:v>
      </x:c>
      <x:c r="G231" s="17" t="s">
        <x:v>54</x:v>
      </x:c>
    </x:row>
    <x:row r="233" spans="1:7">
      <x:c r="A233" s="1" t="s">
        <x:v>35</x:v>
      </x:c>
      <x:c r="B233" s="1" t="s">
        <x:v>30</x:v>
      </x:c>
      <x:c r="C233" s="1" t="s">
        <x:v>0</x:v>
      </x:c>
      <x:c r="D233" s="24" t="s">
        <x:v>19</x:v>
      </x:c>
      <x:c r="E233" s="24" t="s">
        <x:v>26</x:v>
      </x:c>
      <x:c r="F233" s="24" t="s">
        <x:v>32</x:v>
      </x:c>
      <x:c r="G233" s="1" t="s">
        <x:v>36</x:v>
      </x:c>
    </x:row>
    <x:row r="234" spans="1:7" ht="16.75">
      <x:c r="A234" s="22" t="s">
        <x:v>21</x:v>
      </x:c>
      <x:c r="B234" s="14" t="s">
        <x:v>33</x:v>
      </x:c>
      <x:c r="C234" s="23" t="s">
        <x:v>140</x:v>
      </x:c>
      <x:c r="D234" s="23">
        <x:v>16</x:v>
      </x:c>
      <x:c r="E234" s="23">
        <x:v>2</x:v>
      </x:c>
      <x:c r="F234" s="23">
        <x:v>4</x:v>
      </x:c>
      <x:c r="G234" s="15" t="s">
        <x:v>39</x:v>
      </x:c>
    </x:row>
    <x:row r="235" spans="1:7">
      <x:c r="A235" s="20" t="s">
        <x:v>20</x:v>
      </x:c>
      <x:c r="B235" s="2" t="s">
        <x:v>56</x:v>
      </x:c>
      <x:c r="C235" s="9" t="s">
        <x:v>92</x:v>
      </x:c>
      <x:c r="D235" s="9">
        <x:v>6</x:v>
      </x:c>
      <x:c r="E235" s="9">
        <x:v>3</x:v>
      </x:c>
      <x:c r="F235" s="9">
        <x:v>2</x:v>
      </x:c>
      <x:c r="G235" s="16" t="s">
        <x:v>39</x:v>
      </x:c>
    </x:row>
    <x:row r="236" spans="1:7">
      <x:c r="A236" s="20" t="s">
        <x:v>73</x:v>
      </x:c>
      <x:c r="B236" s="2" t="s">
        <x:v>34</x:v>
      </x:c>
      <x:c r="C236" s="9" t="s">
        <x:v>188</x:v>
      </x:c>
      <x:c r="D236" s="9">
        <x:v>6</x:v>
      </x:c>
      <x:c r="E236" s="9">
        <x:v>1</x:v>
      </x:c>
      <x:c r="F236" s="9">
        <x:v>5</x:v>
      </x:c>
      <x:c r="G236" s="16" t="s">
        <x:v>39</x:v>
      </x:c>
    </x:row>
    <x:row r="237" spans="1:7">
      <x:c r="A237" s="20" t="s">
        <x:v>50</x:v>
      </x:c>
      <x:c r="B237" s="2" t="s">
        <x:v>25</x:v>
      </x:c>
      <x:c r="C237" s="9" t="s">
        <x:v>159</x:v>
      </x:c>
      <x:c r="D237" s="9">
        <x:v>8</x:v>
      </x:c>
      <x:c r="E237" s="9">
        <x:v>1</x:v>
      </x:c>
      <x:c r="F237" s="9">
        <x:v>4</x:v>
      </x:c>
      <x:c r="G237" s="16" t="s">
        <x:v>39</x:v>
      </x:c>
    </x:row>
    <x:row r="238" spans="1:7" ht="16.75">
      <x:c r="A238" s="21" t="s">
        <x:v>71</x:v>
      </x:c>
      <x:c r="B238" s="12" t="s">
        <x:v>72</x:v>
      </x:c>
      <x:c r="C238" s="13" t="s">
        <x:v>157</x:v>
      </x:c>
      <x:c r="D238" s="13">
        <x:v>1</x:v>
      </x:c>
      <x:c r="E238" s="13">
        <x:v>0</x:v>
      </x:c>
      <x:c r="F238" s="13">
        <x:v>15</x:v>
      </x:c>
      <x:c r="G238" s="17" t="s">
        <x:v>39</x:v>
      </x:c>
    </x:row>
    <x:row r="239" spans="1:7" ht="16.75">
      <x:c r="A239" s="19" t="s">
        <x:v>76</x:v>
      </x:c>
      <x:c r="B239" s="10" t="s">
        <x:v>33</x:v>
      </x:c>
      <x:c r="C239" s="11" t="s">
        <x:v>177</x:v>
      </x:c>
      <x:c r="D239" s="11">
        <x:v>0</x:v>
      </x:c>
      <x:c r="E239" s="11">
        <x:v>9</x:v>
      </x:c>
      <x:c r="F239" s="11">
        <x:v>2</x:v>
      </x:c>
      <x:c r="G239" s="18" t="s">
        <x:v>54</x:v>
      </x:c>
    </x:row>
    <x:row r="240" spans="1:7">
      <x:c r="A240" s="20" t="s">
        <x:v>123</x:v>
      </x:c>
      <x:c r="B240" s="2" t="s">
        <x:v>56</x:v>
      </x:c>
      <x:c r="C240" s="9" t="s">
        <x:v>117</x:v>
      </x:c>
      <x:c r="D240" s="9">
        <x:v>2</x:v>
      </x:c>
      <x:c r="E240" s="9">
        <x:v>4</x:v>
      </x:c>
      <x:c r="F240" s="9">
        <x:v>1</x:v>
      </x:c>
      <x:c r="G240" s="16" t="s">
        <x:v>54</x:v>
      </x:c>
    </x:row>
    <x:row r="241" spans="1:7">
      <x:c r="A241" s="20" t="s">
        <x:v>37</x:v>
      </x:c>
      <x:c r="B241" s="2" t="s">
        <x:v>34</x:v>
      </x:c>
      <x:c r="C241" s="9" t="s">
        <x:v>94</x:v>
      </x:c>
      <x:c r="D241" s="9">
        <x:v>4</x:v>
      </x:c>
      <x:c r="E241" s="9">
        <x:v>10</x:v>
      </x:c>
      <x:c r="F241" s="9">
        <x:v>2</x:v>
      </x:c>
      <x:c r="G241" s="16" t="s">
        <x:v>54</x:v>
      </x:c>
    </x:row>
    <x:row r="242" spans="1:7">
      <x:c r="A242" s="20" t="s">
        <x:v>49</x:v>
      </x:c>
      <x:c r="B242" s="2" t="s">
        <x:v>25</x:v>
      </x:c>
      <x:c r="C242" s="9" t="s">
        <x:v>102</x:v>
      </x:c>
      <x:c r="D242" s="9">
        <x:v>1</x:v>
      </x:c>
      <x:c r="E242" s="9">
        <x:v>7</x:v>
      </x:c>
      <x:c r="F242" s="9">
        <x:v>1</x:v>
      </x:c>
      <x:c r="G242" s="16" t="s">
        <x:v>54</x:v>
      </x:c>
    </x:row>
    <x:row r="243" spans="1:7" ht="16.75">
      <x:c r="A243" s="21" t="s">
        <x:v>118</x:v>
      </x:c>
      <x:c r="B243" s="12" t="s">
        <x:v>72</x:v>
      </x:c>
      <x:c r="C243" s="13" t="s">
        <x:v>127</x:v>
      </x:c>
      <x:c r="D243" s="13">
        <x:v>0</x:v>
      </x:c>
      <x:c r="E243" s="13">
        <x:v>7</x:v>
      </x:c>
      <x:c r="F243" s="13">
        <x:v>2</x:v>
      </x:c>
      <x:c r="G243" s="17" t="s">
        <x:v>54</x:v>
      </x:c>
    </x:row>
    <x:row r="245" spans="1:7">
      <x:c r="A245" s="1" t="s">
        <x:v>35</x:v>
      </x:c>
      <x:c r="B245" s="1" t="s">
        <x:v>30</x:v>
      </x:c>
      <x:c r="C245" s="1" t="s">
        <x:v>0</x:v>
      </x:c>
      <x:c r="D245" s="24" t="s">
        <x:v>19</x:v>
      </x:c>
      <x:c r="E245" s="24" t="s">
        <x:v>26</x:v>
      </x:c>
      <x:c r="F245" s="24" t="s">
        <x:v>32</x:v>
      </x:c>
      <x:c r="G245" s="1" t="s">
        <x:v>36</x:v>
      </x:c>
    </x:row>
    <x:row r="246" spans="1:7" ht="16.75">
      <x:c r="A246" s="22" t="s">
        <x:v>20</x:v>
      </x:c>
      <x:c r="B246" s="14" t="s">
        <x:v>33</x:v>
      </x:c>
      <x:c r="C246" s="23" t="s">
        <x:v>187</x:v>
      </x:c>
      <x:c r="D246" s="23">
        <x:v>2</x:v>
      </x:c>
      <x:c r="E246" s="23">
        <x:v>9</x:v>
      </x:c>
      <x:c r="F246" s="23">
        <x:v>7</x:v>
      </x:c>
      <x:c r="G246" s="15" t="s">
        <x:v>39</x:v>
      </x:c>
    </x:row>
    <x:row r="247" spans="1:7">
      <x:c r="A247" s="20" t="s">
        <x:v>123</x:v>
      </x:c>
      <x:c r="B247" s="2" t="s">
        <x:v>56</x:v>
      </x:c>
      <x:c r="C247" s="9" t="s">
        <x:v>68</x:v>
      </x:c>
      <x:c r="D247" s="9">
        <x:v>10</x:v>
      </x:c>
      <x:c r="E247" s="9">
        <x:v>5</x:v>
      </x:c>
      <x:c r="F247" s="9">
        <x:v>6</x:v>
      </x:c>
      <x:c r="G247" s="16" t="s">
        <x:v>39</x:v>
      </x:c>
    </x:row>
    <x:row r="248" spans="1:7">
      <x:c r="A248" s="20" t="s">
        <x:v>73</x:v>
      </x:c>
      <x:c r="B248" s="2" t="s">
        <x:v>34</x:v>
      </x:c>
      <x:c r="C248" s="9" t="s">
        <x:v>83</x:v>
      </x:c>
      <x:c r="D248" s="9">
        <x:v>17</x:v>
      </x:c>
      <x:c r="E248" s="9">
        <x:v>3</x:v>
      </x:c>
      <x:c r="F248" s="9">
        <x:v>13</x:v>
      </x:c>
      <x:c r="G248" s="16" t="s">
        <x:v>39</x:v>
      </x:c>
    </x:row>
    <x:row r="249" spans="1:7">
      <x:c r="A249" s="20" t="s">
        <x:v>50</x:v>
      </x:c>
      <x:c r="B249" s="2" t="s">
        <x:v>25</x:v>
      </x:c>
      <x:c r="C249" s="9" t="s">
        <x:v>96</x:v>
      </x:c>
      <x:c r="D249" s="9">
        <x:v>3</x:v>
      </x:c>
      <x:c r="E249" s="9">
        <x:v>3</x:v>
      </x:c>
      <x:c r="F249" s="9">
        <x:v>6</x:v>
      </x:c>
      <x:c r="G249" s="16" t="s">
        <x:v>39</x:v>
      </x:c>
    </x:row>
    <x:row r="250" spans="1:7" ht="16.75">
      <x:c r="A250" s="21" t="s">
        <x:v>71</x:v>
      </x:c>
      <x:c r="B250" s="12" t="s">
        <x:v>72</x:v>
      </x:c>
      <x:c r="C250" s="13" t="s">
        <x:v>125</x:v>
      </x:c>
      <x:c r="D250" s="13">
        <x:v>4</x:v>
      </x:c>
      <x:c r="E250" s="13">
        <x:v>3</x:v>
      </x:c>
      <x:c r="F250" s="13">
        <x:v>23</x:v>
      </x:c>
      <x:c r="G250" s="17" t="s">
        <x:v>39</x:v>
      </x:c>
    </x:row>
    <x:row r="251" spans="1:7" ht="16.75">
      <x:c r="A251" s="19" t="s">
        <x:v>76</x:v>
      </x:c>
      <x:c r="B251" s="10" t="s">
        <x:v>33</x:v>
      </x:c>
      <x:c r="C251" s="11" t="s">
        <x:v>106</x:v>
      </x:c>
      <x:c r="D251" s="11">
        <x:v>3</x:v>
      </x:c>
      <x:c r="E251" s="11">
        <x:v>7</x:v>
      </x:c>
      <x:c r="F251" s="11">
        <x:v>4</x:v>
      </x:c>
      <x:c r="G251" s="18" t="s">
        <x:v>54</x:v>
      </x:c>
    </x:row>
    <x:row r="252" spans="1:7">
      <x:c r="A252" s="20" t="s">
        <x:v>118</x:v>
      </x:c>
      <x:c r="B252" s="2" t="s">
        <x:v>56</x:v>
      </x:c>
      <x:c r="C252" s="9" t="s">
        <x:v>101</x:v>
      </x:c>
      <x:c r="D252" s="9">
        <x:v>5</x:v>
      </x:c>
      <x:c r="E252" s="9">
        <x:v>11</x:v>
      </x:c>
      <x:c r="F252" s="9">
        <x:v>3</x:v>
      </x:c>
      <x:c r="G252" s="16" t="s">
        <x:v>54</x:v>
      </x:c>
    </x:row>
    <x:row r="253" spans="1:7">
      <x:c r="A253" s="20" t="s">
        <x:v>37</x:v>
      </x:c>
      <x:c r="B253" s="2" t="s">
        <x:v>34</x:v>
      </x:c>
      <x:c r="C253" s="9" t="s">
        <x:v>163</x:v>
      </x:c>
      <x:c r="D253" s="9">
        <x:v>3</x:v>
      </x:c>
      <x:c r="E253" s="9">
        <x:v>6</x:v>
      </x:c>
      <x:c r="F253" s="9">
        <x:v>6</x:v>
      </x:c>
      <x:c r="G253" s="16" t="s">
        <x:v>54</x:v>
      </x:c>
    </x:row>
    <x:row r="254" spans="1:7">
      <x:c r="A254" s="20" t="s">
        <x:v>49</x:v>
      </x:c>
      <x:c r="B254" s="2" t="s">
        <x:v>25</x:v>
      </x:c>
      <x:c r="C254" s="9" t="s">
        <x:v>114</x:v>
      </x:c>
      <x:c r="D254" s="9">
        <x:v>8</x:v>
      </x:c>
      <x:c r="E254" s="9">
        <x:v>5</x:v>
      </x:c>
      <x:c r="F254" s="9">
        <x:v>4</x:v>
      </x:c>
      <x:c r="G254" s="16" t="s">
        <x:v>54</x:v>
      </x:c>
    </x:row>
    <x:row r="255" spans="1:7" ht="16.75">
      <x:c r="A255" s="21" t="s">
        <x:v>21</x:v>
      </x:c>
      <x:c r="B255" s="12" t="s">
        <x:v>72</x:v>
      </x:c>
      <x:c r="C255" s="13" t="s">
        <x:v>67</x:v>
      </x:c>
      <x:c r="D255" s="13">
        <x:v>4</x:v>
      </x:c>
      <x:c r="E255" s="13">
        <x:v>7</x:v>
      </x:c>
      <x:c r="F255" s="13">
        <x:v>13</x:v>
      </x:c>
      <x:c r="G255" s="17" t="s">
        <x:v>54</x:v>
      </x:c>
    </x:row>
    <x:row r="257" spans="1:7">
      <x:c r="A257" s="1" t="s">
        <x:v>35</x:v>
      </x:c>
      <x:c r="B257" s="1" t="s">
        <x:v>30</x:v>
      </x:c>
      <x:c r="C257" s="1" t="s">
        <x:v>0</x:v>
      </x:c>
      <x:c r="D257" s="24" t="s">
        <x:v>19</x:v>
      </x:c>
      <x:c r="E257" s="24" t="s">
        <x:v>26</x:v>
      </x:c>
      <x:c r="F257" s="24" t="s">
        <x:v>32</x:v>
      </x:c>
      <x:c r="G257" s="1" t="s">
        <x:v>36</x:v>
      </x:c>
    </x:row>
    <x:row r="258" spans="1:7" ht="16.75">
      <x:c r="A258" s="22" t="s">
        <x:v>62</x:v>
      </x:c>
      <x:c r="B258" s="14" t="s">
        <x:v>33</x:v>
      </x:c>
      <x:c r="C258" s="23" t="s">
        <x:v>165</x:v>
      </x:c>
      <x:c r="D258" s="23">
        <x:v>7</x:v>
      </x:c>
      <x:c r="E258" s="23">
        <x:v>2</x:v>
      </x:c>
      <x:c r="F258" s="23">
        <x:v>16</x:v>
      </x:c>
      <x:c r="G258" s="15" t="s">
        <x:v>39</x:v>
      </x:c>
    </x:row>
    <x:row r="259" spans="1:7">
      <x:c r="A259" s="20" t="s">
        <x:v>21</x:v>
      </x:c>
      <x:c r="B259" s="2" t="s">
        <x:v>56</x:v>
      </x:c>
      <x:c r="C259" s="9" t="s">
        <x:v>143</x:v>
      </x:c>
      <x:c r="D259" s="9">
        <x:v>12</x:v>
      </x:c>
      <x:c r="E259" s="9">
        <x:v>3</x:v>
      </x:c>
      <x:c r="F259" s="9">
        <x:v>13</x:v>
      </x:c>
      <x:c r="G259" s="16" t="s">
        <x:v>39</x:v>
      </x:c>
    </x:row>
    <x:row r="260" spans="1:7">
      <x:c r="A260" s="20" t="s">
        <x:v>90</x:v>
      </x:c>
      <x:c r="B260" s="2" t="s">
        <x:v>34</x:v>
      </x:c>
      <x:c r="C260" s="9" t="s">
        <x:v>126</x:v>
      </x:c>
      <x:c r="D260" s="9">
        <x:v>9</x:v>
      </x:c>
      <x:c r="E260" s="9">
        <x:v>7</x:v>
      </x:c>
      <x:c r="F260" s="9">
        <x:v>12</x:v>
      </x:c>
      <x:c r="G260" s="16" t="s">
        <x:v>39</x:v>
      </x:c>
    </x:row>
    <x:row r="261" spans="1:7">
      <x:c r="A261" s="20" t="s">
        <x:v>50</x:v>
      </x:c>
      <x:c r="B261" s="2" t="s">
        <x:v>25</x:v>
      </x:c>
      <x:c r="C261" s="9" t="s">
        <x:v>111</x:v>
      </x:c>
      <x:c r="D261" s="9">
        <x:v>12</x:v>
      </x:c>
      <x:c r="E261" s="9">
        <x:v>2</x:v>
      </x:c>
      <x:c r="F261" s="9">
        <x:v>6</x:v>
      </x:c>
      <x:c r="G261" s="16" t="s">
        <x:v>39</x:v>
      </x:c>
    </x:row>
    <x:row r="262" spans="1:7" ht="16.75">
      <x:c r="A262" s="21" t="s">
        <x:v>60</x:v>
      </x:c>
      <x:c r="B262" s="12" t="s">
        <x:v>72</x:v>
      </x:c>
      <x:c r="C262" s="13" t="s">
        <x:v>125</x:v>
      </x:c>
      <x:c r="D262" s="13">
        <x:v>1</x:v>
      </x:c>
      <x:c r="E262" s="13">
        <x:v>5</x:v>
      </x:c>
      <x:c r="F262" s="13">
        <x:v>27</x:v>
      </x:c>
      <x:c r="G262" s="17" t="s">
        <x:v>39</x:v>
      </x:c>
    </x:row>
    <x:row r="263" spans="1:7" ht="16.75">
      <x:c r="A263" s="19" t="s">
        <x:v>76</x:v>
      </x:c>
      <x:c r="B263" s="10" t="s">
        <x:v>33</x:v>
      </x:c>
      <x:c r="C263" s="11" t="s">
        <x:v>79</x:v>
      </x:c>
      <x:c r="D263" s="11">
        <x:v>4</x:v>
      </x:c>
      <x:c r="E263" s="11">
        <x:v>10</x:v>
      </x:c>
      <x:c r="F263" s="11">
        <x:v>7</x:v>
      </x:c>
      <x:c r="G263" s="18" t="s">
        <x:v>54</x:v>
      </x:c>
    </x:row>
    <x:row r="264" spans="1:7">
      <x:c r="A264" s="20" t="s">
        <x:v>22</x:v>
      </x:c>
      <x:c r="B264" s="2" t="s">
        <x:v>56</x:v>
      </x:c>
      <x:c r="C264" s="9" t="s">
        <x:v>82</x:v>
      </x:c>
      <x:c r="D264" s="9">
        <x:v>5</x:v>
      </x:c>
      <x:c r="E264" s="9">
        <x:v>7</x:v>
      </x:c>
      <x:c r="F264" s="9">
        <x:v>11</x:v>
      </x:c>
      <x:c r="G264" s="16" t="s">
        <x:v>54</x:v>
      </x:c>
    </x:row>
    <x:row r="265" spans="1:7">
      <x:c r="A265" s="20" t="s">
        <x:v>73</x:v>
      </x:c>
      <x:c r="B265" s="2" t="s">
        <x:v>34</x:v>
      </x:c>
      <x:c r="C265" s="9" t="s">
        <x:v>53</x:v>
      </x:c>
      <x:c r="D265" s="9">
        <x:v>1</x:v>
      </x:c>
      <x:c r="E265" s="9">
        <x:v>11</x:v>
      </x:c>
      <x:c r="F265" s="9">
        <x:v>6</x:v>
      </x:c>
      <x:c r="G265" s="16" t="s">
        <x:v>54</x:v>
      </x:c>
    </x:row>
    <x:row r="266" spans="1:7">
      <x:c r="A266" s="20" t="s">
        <x:v>28</x:v>
      </x:c>
      <x:c r="B266" s="2" t="s">
        <x:v>25</x:v>
      </x:c>
      <x:c r="C266" s="9" t="s">
        <x:v>104</x:v>
      </x:c>
      <x:c r="D266" s="9">
        <x:v>9</x:v>
      </x:c>
      <x:c r="E266" s="9">
        <x:v>7</x:v>
      </x:c>
      <x:c r="F266" s="9">
        <x:v>3</x:v>
      </x:c>
      <x:c r="G266" s="16" t="s">
        <x:v>54</x:v>
      </x:c>
    </x:row>
    <x:row r="267" spans="1:7" ht="16.75">
      <x:c r="A267" s="21" t="s">
        <x:v>59</x:v>
      </x:c>
      <x:c r="B267" s="12" t="s">
        <x:v>72</x:v>
      </x:c>
      <x:c r="C267" s="13" t="s">
        <x:v>51</x:v>
      </x:c>
      <x:c r="D267" s="13">
        <x:v>0</x:v>
      </x:c>
      <x:c r="E267" s="13">
        <x:v>6</x:v>
      </x:c>
      <x:c r="F267" s="13">
        <x:v>12</x:v>
      </x:c>
      <x:c r="G267" s="17" t="s">
        <x:v>54</x:v>
      </x:c>
    </x:row>
    <x:row r="269" spans="1:7">
      <x:c r="A269" s="1" t="s">
        <x:v>35</x:v>
      </x:c>
      <x:c r="B269" s="1" t="s">
        <x:v>30</x:v>
      </x:c>
      <x:c r="C269" s="1" t="s">
        <x:v>0</x:v>
      </x:c>
      <x:c r="D269" s="24" t="s">
        <x:v>19</x:v>
      </x:c>
      <x:c r="E269" s="24" t="s">
        <x:v>26</x:v>
      </x:c>
      <x:c r="F269" s="24" t="s">
        <x:v>32</x:v>
      </x:c>
      <x:c r="G269" s="1" t="s">
        <x:v>36</x:v>
      </x:c>
    </x:row>
    <x:row r="270" spans="1:7" ht="16.75">
      <x:c r="A270" s="22" t="s">
        <x:v>22</x:v>
      </x:c>
      <x:c r="B270" s="14" t="s">
        <x:v>33</x:v>
      </x:c>
      <x:c r="C270" s="23" t="s">
        <x:v>113</x:v>
      </x:c>
      <x:c r="D270" s="23">
        <x:v>10</x:v>
      </x:c>
      <x:c r="E270" s="23">
        <x:v>1</x:v>
      </x:c>
      <x:c r="F270" s="23">
        <x:v>15</x:v>
      </x:c>
      <x:c r="G270" s="15" t="s">
        <x:v>39</x:v>
      </x:c>
    </x:row>
    <x:row r="271" spans="1:7">
      <x:c r="A271" s="20" t="s">
        <x:v>61</x:v>
      </x:c>
      <x:c r="B271" s="2" t="s">
        <x:v>56</x:v>
      </x:c>
      <x:c r="C271" s="9" t="s">
        <x:v>88</x:v>
      </x:c>
      <x:c r="D271" s="9">
        <x:v>4</x:v>
      </x:c>
      <x:c r="E271" s="9">
        <x:v>10</x:v>
      </x:c>
      <x:c r="F271" s="9">
        <x:v>15</x:v>
      </x:c>
      <x:c r="G271" s="16" t="s">
        <x:v>39</x:v>
      </x:c>
    </x:row>
    <x:row r="272" spans="1:7">
      <x:c r="A272" s="20" t="s">
        <x:v>59</x:v>
      </x:c>
      <x:c r="B272" s="2" t="s">
        <x:v>34</x:v>
      </x:c>
      <x:c r="C272" s="9" t="s">
        <x:v>108</x:v>
      </x:c>
      <x:c r="D272" s="9">
        <x:v>8</x:v>
      </x:c>
      <x:c r="E272" s="9">
        <x:v>8</x:v>
      </x:c>
      <x:c r="F272" s="9">
        <x:v>12</x:v>
      </x:c>
      <x:c r="G272" s="16" t="s">
        <x:v>39</x:v>
      </x:c>
    </x:row>
    <x:row r="273" spans="1:7">
      <x:c r="A273" s="20" t="s">
        <x:v>50</x:v>
      </x:c>
      <x:c r="B273" s="2" t="s">
        <x:v>25</x:v>
      </x:c>
      <x:c r="C273" s="9" t="s">
        <x:v>111</x:v>
      </x:c>
      <x:c r="D273" s="9">
        <x:v>9</x:v>
      </x:c>
      <x:c r="E273" s="9">
        <x:v>5</x:v>
      </x:c>
      <x:c r="F273" s="9">
        <x:v>10</x:v>
      </x:c>
      <x:c r="G273" s="16" t="s">
        <x:v>39</x:v>
      </x:c>
    </x:row>
    <x:row r="274" spans="1:7" ht="16.75">
      <x:c r="A274" s="21" t="s">
        <x:v>28</x:v>
      </x:c>
      <x:c r="B274" s="12" t="s">
        <x:v>72</x:v>
      </x:c>
      <x:c r="C274" s="13" t="s">
        <x:v>80</x:v>
      </x:c>
      <x:c r="D274" s="13">
        <x:v>6</x:v>
      </x:c>
      <x:c r="E274" s="13">
        <x:v>6</x:v>
      </x:c>
      <x:c r="F274" s="13">
        <x:v>23</x:v>
      </x:c>
      <x:c r="G274" s="17" t="s">
        <x:v>39</x:v>
      </x:c>
    </x:row>
    <x:row r="275" spans="1:7" ht="16.75">
      <x:c r="A275" s="19" t="s">
        <x:v>44</x:v>
      </x:c>
      <x:c r="B275" s="10" t="s">
        <x:v>33</x:v>
      </x:c>
      <x:c r="C275" s="11" t="s">
        <x:v>52</x:v>
      </x:c>
      <x:c r="D275" s="11">
        <x:v>1</x:v>
      </x:c>
      <x:c r="E275" s="11">
        <x:v>10</x:v>
      </x:c>
      <x:c r="F275" s="11">
        <x:v>5</x:v>
      </x:c>
      <x:c r="G275" s="18" t="s">
        <x:v>54</x:v>
      </x:c>
    </x:row>
    <x:row r="276" spans="1:7">
      <x:c r="A276" s="20" t="s">
        <x:v>76</x:v>
      </x:c>
      <x:c r="B276" s="2" t="s">
        <x:v>56</x:v>
      </x:c>
      <x:c r="C276" s="9" t="s">
        <x:v>97</x:v>
      </x:c>
      <x:c r="D276" s="9">
        <x:v>1</x:v>
      </x:c>
      <x:c r="E276" s="9">
        <x:v>8</x:v>
      </x:c>
      <x:c r="F276" s="9">
        <x:v>7</x:v>
      </x:c>
      <x:c r="G276" s="16" t="s">
        <x:v>54</x:v>
      </x:c>
    </x:row>
    <x:row r="277" spans="1:7">
      <x:c r="A277" s="20" t="s">
        <x:v>73</x:v>
      </x:c>
      <x:c r="B277" s="2" t="s">
        <x:v>34</x:v>
      </x:c>
      <x:c r="C277" s="9" t="s">
        <x:v>40</x:v>
      </x:c>
      <x:c r="D277" s="9">
        <x:v>7</x:v>
      </x:c>
      <x:c r="E277" s="9">
        <x:v>6</x:v>
      </x:c>
      <x:c r="F277" s="9">
        <x:v>6</x:v>
      </x:c>
      <x:c r="G277" s="16" t="s">
        <x:v>54</x:v>
      </x:c>
    </x:row>
    <x:row r="278" spans="1:7">
      <x:c r="A278" s="20" t="s">
        <x:v>90</x:v>
      </x:c>
      <x:c r="B278" s="2" t="s">
        <x:v>25</x:v>
      </x:c>
      <x:c r="C278" s="9" t="s">
        <x:v>168</x:v>
      </x:c>
      <x:c r="D278" s="9">
        <x:v>11</x:v>
      </x:c>
      <x:c r="E278" s="9">
        <x:v>10</x:v>
      </x:c>
      <x:c r="F278" s="9">
        <x:v>9</x:v>
      </x:c>
      <x:c r="G278" s="16" t="s">
        <x:v>54</x:v>
      </x:c>
    </x:row>
    <x:row r="279" spans="1:7" ht="16.75">
      <x:c r="A279" s="21" t="s">
        <x:v>21</x:v>
      </x:c>
      <x:c r="B279" s="12" t="s">
        <x:v>72</x:v>
      </x:c>
      <x:c r="C279" s="13" t="s">
        <x:v>74</x:v>
      </x:c>
      <x:c r="D279" s="13">
        <x:v>10</x:v>
      </x:c>
      <x:c r="E279" s="13">
        <x:v>3</x:v>
      </x:c>
      <x:c r="F279" s="13">
        <x:v>15</x:v>
      </x:c>
      <x:c r="G279" s="17" t="s">
        <x:v>54</x:v>
      </x:c>
    </x:row>
    <x:row r="281" spans="1:7">
      <x:c r="A281" s="1" t="s">
        <x:v>35</x:v>
      </x:c>
      <x:c r="B281" s="1" t="s">
        <x:v>30</x:v>
      </x:c>
      <x:c r="C281" s="1" t="s">
        <x:v>0</x:v>
      </x:c>
      <x:c r="D281" s="24" t="s">
        <x:v>19</x:v>
      </x:c>
      <x:c r="E281" s="24" t="s">
        <x:v>26</x:v>
      </x:c>
      <x:c r="F281" s="24" t="s">
        <x:v>32</x:v>
      </x:c>
      <x:c r="G281" s="1" t="s">
        <x:v>36</x:v>
      </x:c>
    </x:row>
    <x:row r="282" spans="1:7" ht="16.75">
      <x:c r="A282" s="22" t="s">
        <x:v>22</x:v>
      </x:c>
      <x:c r="B282" s="14" t="s">
        <x:v>33</x:v>
      </x:c>
      <x:c r="C282" s="23" t="s">
        <x:v>132</x:v>
      </x:c>
      <x:c r="D282" s="23">
        <x:v>15</x:v>
      </x:c>
      <x:c r="E282" s="23">
        <x:v>1</x:v>
      </x:c>
      <x:c r="F282" s="23">
        <x:v>5</x:v>
      </x:c>
      <x:c r="G282" s="15" t="s">
        <x:v>39</x:v>
      </x:c>
    </x:row>
    <x:row r="283" spans="1:7">
      <x:c r="A283" s="20" t="s">
        <x:v>61</x:v>
      </x:c>
      <x:c r="B283" s="2" t="s">
        <x:v>56</x:v>
      </x:c>
      <x:c r="C283" s="9" t="s">
        <x:v>101</x:v>
      </x:c>
      <x:c r="D283" s="9">
        <x:v>7</x:v>
      </x:c>
      <x:c r="E283" s="9">
        <x:v>0</x:v>
      </x:c>
      <x:c r="F283" s="9">
        <x:v>10</x:v>
      </x:c>
      <x:c r="G283" s="16" t="s">
        <x:v>39</x:v>
      </x:c>
    </x:row>
    <x:row r="284" spans="1:7">
      <x:c r="A284" s="20" t="s">
        <x:v>59</x:v>
      </x:c>
      <x:c r="B284" s="2" t="s">
        <x:v>34</x:v>
      </x:c>
      <x:c r="C284" s="9" t="s">
        <x:v>142</x:v>
      </x:c>
      <x:c r="D284" s="9">
        <x:v>4</x:v>
      </x:c>
      <x:c r="E284" s="9">
        <x:v>5</x:v>
      </x:c>
      <x:c r="F284" s="9">
        <x:v>2</x:v>
      </x:c>
      <x:c r="G284" s="16" t="s">
        <x:v>39</x:v>
      </x:c>
    </x:row>
    <x:row r="285" spans="1:7">
      <x:c r="A285" s="20" t="s">
        <x:v>50</x:v>
      </x:c>
      <x:c r="B285" s="2" t="s">
        <x:v>25</x:v>
      </x:c>
      <x:c r="C285" s="9" t="s">
        <x:v>96</x:v>
      </x:c>
      <x:c r="D285" s="9">
        <x:v>7</x:v>
      </x:c>
      <x:c r="E285" s="9">
        <x:v>4</x:v>
      </x:c>
      <x:c r="F285" s="9">
        <x:v>12</x:v>
      </x:c>
      <x:c r="G285" s="16" t="s">
        <x:v>39</x:v>
      </x:c>
    </x:row>
    <x:row r="286" spans="1:7" ht="16.75">
      <x:c r="A286" s="21" t="s">
        <x:v>28</x:v>
      </x:c>
      <x:c r="B286" s="12" t="s">
        <x:v>72</x:v>
      </x:c>
      <x:c r="C286" s="13" t="s">
        <x:v>131</x:v>
      </x:c>
      <x:c r="D286" s="13">
        <x:v>1</x:v>
      </x:c>
      <x:c r="E286" s="13">
        <x:v>7</x:v>
      </x:c>
      <x:c r="F286" s="13">
        <x:v>26</x:v>
      </x:c>
      <x:c r="G286" s="17" t="s">
        <x:v>39</x:v>
      </x:c>
    </x:row>
    <x:row r="287" spans="1:7" ht="16.75">
      <x:c r="A287" s="19" t="s">
        <x:v>44</x:v>
      </x:c>
      <x:c r="B287" s="10" t="s">
        <x:v>33</x:v>
      </x:c>
      <x:c r="C287" s="11" t="s">
        <x:v>122</x:v>
      </x:c>
      <x:c r="D287" s="11">
        <x:v>1</x:v>
      </x:c>
      <x:c r="E287" s="11">
        <x:v>7</x:v>
      </x:c>
      <x:c r="F287" s="11">
        <x:v>0</x:v>
      </x:c>
      <x:c r="G287" s="18" t="s">
        <x:v>54</x:v>
      </x:c>
    </x:row>
    <x:row r="288" spans="1:7">
      <x:c r="A288" s="20" t="s">
        <x:v>76</x:v>
      </x:c>
      <x:c r="B288" s="2" t="s">
        <x:v>56</x:v>
      </x:c>
      <x:c r="C288" s="9" t="s">
        <x:v>68</x:v>
      </x:c>
      <x:c r="D288" s="9">
        <x:v>2</x:v>
      </x:c>
      <x:c r="E288" s="9">
        <x:v>8</x:v>
      </x:c>
      <x:c r="F288" s="9">
        <x:v>1</x:v>
      </x:c>
      <x:c r="G288" s="16" t="s">
        <x:v>54</x:v>
      </x:c>
    </x:row>
    <x:row r="289" spans="1:7">
      <x:c r="A289" s="20" t="s">
        <x:v>73</x:v>
      </x:c>
      <x:c r="B289" s="2" t="s">
        <x:v>34</x:v>
      </x:c>
      <x:c r="C289" s="9" t="s">
        <x:v>153</x:v>
      </x:c>
      <x:c r="D289" s="9">
        <x:v>6</x:v>
      </x:c>
      <x:c r="E289" s="9">
        <x:v>5</x:v>
      </x:c>
      <x:c r="F289" s="9">
        <x:v>1</x:v>
      </x:c>
      <x:c r="G289" s="16" t="s">
        <x:v>54</x:v>
      </x:c>
    </x:row>
    <x:row r="290" spans="1:7">
      <x:c r="A290" s="20" t="s">
        <x:v>90</x:v>
      </x:c>
      <x:c r="B290" s="2" t="s">
        <x:v>25</x:v>
      </x:c>
      <x:c r="C290" s="9" t="s">
        <x:v>159</x:v>
      </x:c>
      <x:c r="D290" s="9">
        <x:v>4</x:v>
      </x:c>
      <x:c r="E290" s="9">
        <x:v>10</x:v>
      </x:c>
      <x:c r="F290" s="9">
        <x:v>5</x:v>
      </x:c>
      <x:c r="G290" s="16" t="s">
        <x:v>54</x:v>
      </x:c>
    </x:row>
    <x:row r="291" spans="1:7" ht="16.75">
      <x:c r="A291" s="21" t="s">
        <x:v>21</x:v>
      </x:c>
      <x:c r="B291" s="12" t="s">
        <x:v>72</x:v>
      </x:c>
      <x:c r="C291" s="13" t="s">
        <x:v>84</x:v>
      </x:c>
      <x:c r="D291" s="13">
        <x:v>4</x:v>
      </x:c>
      <x:c r="E291" s="13">
        <x:v>4</x:v>
      </x:c>
      <x:c r="F291" s="13">
        <x:v>4</x:v>
      </x:c>
      <x:c r="G291" s="17" t="s">
        <x:v>54</x:v>
      </x:c>
    </x:row>
    <x:row r="293" spans="1:7">
      <x:c r="A293" s="1" t="s">
        <x:v>35</x:v>
      </x:c>
      <x:c r="B293" s="1" t="s">
        <x:v>30</x:v>
      </x:c>
      <x:c r="C293" s="1" t="s">
        <x:v>0</x:v>
      </x:c>
      <x:c r="D293" s="24" t="s">
        <x:v>19</x:v>
      </x:c>
      <x:c r="E293" s="24" t="s">
        <x:v>26</x:v>
      </x:c>
      <x:c r="F293" s="24" t="s">
        <x:v>32</x:v>
      </x:c>
      <x:c r="G293" s="1" t="s">
        <x:v>36</x:v>
      </x:c>
    </x:row>
    <x:row r="294" spans="1:7" ht="16.75">
      <x:c r="A294" s="22" t="s">
        <x:v>21</x:v>
      </x:c>
      <x:c r="B294" s="14" t="s">
        <x:v>33</x:v>
      </x:c>
      <x:c r="C294" s="23" t="s">
        <x:v>143</x:v>
      </x:c>
      <x:c r="D294" s="23">
        <x:v>13</x:v>
      </x:c>
      <x:c r="E294" s="23">
        <x:v>6</x:v>
      </x:c>
      <x:c r="F294" s="23">
        <x:v>5</x:v>
      </x:c>
      <x:c r="G294" s="15" t="s">
        <x:v>39</x:v>
      </x:c>
    </x:row>
    <x:row r="295" spans="1:7">
      <x:c r="A295" s="20" t="s">
        <x:v>44</x:v>
      </x:c>
      <x:c r="B295" s="2" t="s">
        <x:v>56</x:v>
      </x:c>
      <x:c r="C295" s="9" t="s">
        <x:v>92</x:v>
      </x:c>
      <x:c r="D295" s="9">
        <x:v>4</x:v>
      </x:c>
      <x:c r="E295" s="9">
        <x:v>3</x:v>
      </x:c>
      <x:c r="F295" s="9">
        <x:v>8</x:v>
      </x:c>
      <x:c r="G295" s="16" t="s">
        <x:v>39</x:v>
      </x:c>
    </x:row>
    <x:row r="296" spans="1:7">
      <x:c r="A296" s="20" t="s">
        <x:v>59</x:v>
      </x:c>
      <x:c r="B296" s="2" t="s">
        <x:v>34</x:v>
      </x:c>
      <x:c r="C296" s="9" t="s">
        <x:v>121</x:v>
      </x:c>
      <x:c r="D296" s="9">
        <x:v>10</x:v>
      </x:c>
      <x:c r="E296" s="9">
        <x:v>4</x:v>
      </x:c>
      <x:c r="F296" s="9">
        <x:v>8</x:v>
      </x:c>
      <x:c r="G296" s="16" t="s">
        <x:v>39</x:v>
      </x:c>
    </x:row>
    <x:row r="297" spans="1:7">
      <x:c r="A297" s="54" t="s">
        <x:v>139</x:v>
      </x:c>
      <x:c r="B297" s="2" t="s">
        <x:v>25</x:v>
      </x:c>
      <x:c r="C297" s="9" t="s">
        <x:v>96</x:v>
      </x:c>
      <x:c r="D297" s="9">
        <x:v>1</x:v>
      </x:c>
      <x:c r="E297" s="9">
        <x:v>8</x:v>
      </x:c>
      <x:c r="F297" s="9">
        <x:v>6</x:v>
      </x:c>
      <x:c r="G297" s="16" t="s">
        <x:v>39</x:v>
      </x:c>
    </x:row>
    <x:row r="298" spans="1:7" ht="16.75">
      <x:c r="A298" s="53" t="s">
        <x:v>182</x:v>
      </x:c>
      <x:c r="B298" s="12" t="s">
        <x:v>72</x:v>
      </x:c>
      <x:c r="C298" s="13" t="s">
        <x:v>131</x:v>
      </x:c>
      <x:c r="D298" s="13">
        <x:v>1</x:v>
      </x:c>
      <x:c r="E298" s="13">
        <x:v>6</x:v>
      </x:c>
      <x:c r="F298" s="13">
        <x:v>8</x:v>
      </x:c>
      <x:c r="G298" s="17" t="s">
        <x:v>39</x:v>
      </x:c>
    </x:row>
    <x:row r="299" spans="1:7" ht="16.75">
      <x:c r="A299" s="19" t="s">
        <x:v>76</x:v>
      </x:c>
      <x:c r="B299" s="10" t="s">
        <x:v>33</x:v>
      </x:c>
      <x:c r="C299" s="11" t="s">
        <x:v>79</x:v>
      </x:c>
      <x:c r="D299" s="11">
        <x:v>5</x:v>
      </x:c>
      <x:c r="E299" s="11">
        <x:v>9</x:v>
      </x:c>
      <x:c r="F299" s="11">
        <x:v>5</x:v>
      </x:c>
      <x:c r="G299" s="18" t="s">
        <x:v>54</x:v>
      </x:c>
    </x:row>
    <x:row r="300" spans="1:7">
      <x:c r="A300" s="54" t="s">
        <x:v>155</x:v>
      </x:c>
      <x:c r="B300" s="2" t="s">
        <x:v>56</x:v>
      </x:c>
      <x:c r="C300" s="9" t="s">
        <x:v>88</x:v>
      </x:c>
      <x:c r="D300" s="9">
        <x:v>4</x:v>
      </x:c>
      <x:c r="E300" s="9">
        <x:v>7</x:v>
      </x:c>
      <x:c r="F300" s="9">
        <x:v>9</x:v>
      </x:c>
      <x:c r="G300" s="16" t="s">
        <x:v>54</x:v>
      </x:c>
    </x:row>
    <x:row r="301" spans="1:7">
      <x:c r="A301" s="20" t="s">
        <x:v>123</x:v>
      </x:c>
      <x:c r="B301" s="2" t="s">
        <x:v>34</x:v>
      </x:c>
      <x:c r="C301" s="9" t="s">
        <x:v>188</x:v>
      </x:c>
      <x:c r="D301" s="9">
        <x:v>7</x:v>
      </x:c>
      <x:c r="E301" s="9">
        <x:v>4</x:v>
      </x:c>
      <x:c r="F301" s="9">
        <x:v>6</x:v>
      </x:c>
      <x:c r="G301" s="16" t="s">
        <x:v>54</x:v>
      </x:c>
    </x:row>
    <x:row r="302" spans="1:7">
      <x:c r="A302" s="20" t="s">
        <x:v>57</x:v>
      </x:c>
      <x:c r="B302" s="2" t="s">
        <x:v>25</x:v>
      </x:c>
      <x:c r="C302" s="9" t="s">
        <x:v>69</x:v>
      </x:c>
      <x:c r="D302" s="9">
        <x:v>8</x:v>
      </x:c>
      <x:c r="E302" s="9">
        <x:v>4</x:v>
      </x:c>
      <x:c r="F302" s="9">
        <x:v>3</x:v>
      </x:c>
      <x:c r="G302" s="16" t="s">
        <x:v>54</x:v>
      </x:c>
    </x:row>
    <x:row r="303" spans="1:7" ht="16.75">
      <x:c r="A303" s="21" t="s">
        <x:v>28</x:v>
      </x:c>
      <x:c r="B303" s="12" t="s">
        <x:v>72</x:v>
      </x:c>
      <x:c r="C303" s="13" t="s">
        <x:v>125</x:v>
      </x:c>
      <x:c r="D303" s="13">
        <x:v>2</x:v>
      </x:c>
      <x:c r="E303" s="13">
        <x:v>5</x:v>
      </x:c>
      <x:c r="F303" s="13">
        <x:v>15</x:v>
      </x:c>
      <x:c r="G303" s="17" t="s">
        <x:v>54</x:v>
      </x:c>
    </x:row>
    <x:row r="305" spans="1:7">
      <x:c r="A305" s="1" t="s">
        <x:v>35</x:v>
      </x:c>
      <x:c r="B305" s="1" t="s">
        <x:v>30</x:v>
      </x:c>
      <x:c r="C305" s="1" t="s">
        <x:v>0</x:v>
      </x:c>
      <x:c r="D305" s="24" t="s">
        <x:v>19</x:v>
      </x:c>
      <x:c r="E305" s="24" t="s">
        <x:v>26</x:v>
      </x:c>
      <x:c r="F305" s="24" t="s">
        <x:v>32</x:v>
      </x:c>
      <x:c r="G305" s="1" t="s">
        <x:v>36</x:v>
      </x:c>
    </x:row>
    <x:row r="306" spans="1:7" ht="16.75">
      <x:c r="A306" s="22" t="s">
        <x:v>75</x:v>
      </x:c>
      <x:c r="B306" s="14" t="s">
        <x:v>33</x:v>
      </x:c>
      <x:c r="C306" s="23" t="s">
        <x:v>79</x:v>
      </x:c>
      <x:c r="D306" s="23">
        <x:v>5</x:v>
      </x:c>
      <x:c r="E306" s="23">
        <x:v>6</x:v>
      </x:c>
      <x:c r="F306" s="23">
        <x:v>13</x:v>
      </x:c>
      <x:c r="G306" s="15" t="s">
        <x:v>39</x:v>
      </x:c>
    </x:row>
    <x:row r="307" spans="1:7">
      <x:c r="A307" s="20" t="s">
        <x:v>22</x:v>
      </x:c>
      <x:c r="B307" s="2" t="s">
        <x:v>56</x:v>
      </x:c>
      <x:c r="C307" s="9" t="s">
        <x:v>188</x:v>
      </x:c>
      <x:c r="D307" s="9">
        <x:v>6</x:v>
      </x:c>
      <x:c r="E307" s="9">
        <x:v>7</x:v>
      </x:c>
      <x:c r="F307" s="9">
        <x:v>19</x:v>
      </x:c>
      <x:c r="G307" s="16" t="s">
        <x:v>39</x:v>
      </x:c>
    </x:row>
    <x:row r="308" spans="1:7">
      <x:c r="A308" s="20" t="s">
        <x:v>60</x:v>
      </x:c>
      <x:c r="B308" s="2" t="s">
        <x:v>34</x:v>
      </x:c>
      <x:c r="C308" s="9" t="s">
        <x:v>107</x:v>
      </x:c>
      <x:c r="D308" s="9">
        <x:v>8</x:v>
      </x:c>
      <x:c r="E308" s="9">
        <x:v>9</x:v>
      </x:c>
      <x:c r="F308" s="9">
        <x:v>10</x:v>
      </x:c>
      <x:c r="G308" s="16" t="s">
        <x:v>39</x:v>
      </x:c>
    </x:row>
    <x:row r="309" spans="1:7">
      <x:c r="A309" s="20" t="s">
        <x:v>50</x:v>
      </x:c>
      <x:c r="B309" s="2" t="s">
        <x:v>25</x:v>
      </x:c>
      <x:c r="C309" s="9" t="s">
        <x:v>111</x:v>
      </x:c>
      <x:c r="D309" s="9">
        <x:v>15</x:v>
      </x:c>
      <x:c r="E309" s="9">
        <x:v>3</x:v>
      </x:c>
      <x:c r="F309" s="9">
        <x:v>5</x:v>
      </x:c>
      <x:c r="G309" s="16" t="s">
        <x:v>39</x:v>
      </x:c>
    </x:row>
    <x:row r="310" spans="1:7" ht="16.75">
      <x:c r="A310" s="21" t="s">
        <x:v>58</x:v>
      </x:c>
      <x:c r="B310" s="12" t="s">
        <x:v>72</x:v>
      </x:c>
      <x:c r="C310" s="13" t="s">
        <x:v>84</x:v>
      </x:c>
      <x:c r="D310" s="13">
        <x:v>3</x:v>
      </x:c>
      <x:c r="E310" s="13">
        <x:v>5</x:v>
      </x:c>
      <x:c r="F310" s="13">
        <x:v>14</x:v>
      </x:c>
      <x:c r="G310" s="17" t="s">
        <x:v>39</x:v>
      </x:c>
    </x:row>
    <x:row r="311" spans="1:7" ht="16.75">
      <x:c r="A311" s="19" t="s">
        <x:v>73</x:v>
      </x:c>
      <x:c r="B311" s="10" t="s">
        <x:v>33</x:v>
      </x:c>
      <x:c r="C311" s="11" t="s">
        <x:v>165</x:v>
      </x:c>
      <x:c r="D311" s="11">
        <x:v>5</x:v>
      </x:c>
      <x:c r="E311" s="11">
        <x:v>8</x:v>
      </x:c>
      <x:c r="F311" s="11">
        <x:v>9</x:v>
      </x:c>
      <x:c r="G311" s="18" t="s">
        <x:v>54</x:v>
      </x:c>
    </x:row>
    <x:row r="312" spans="1:7">
      <x:c r="A312" s="20" t="s">
        <x:v>61</x:v>
      </x:c>
      <x:c r="B312" s="2" t="s">
        <x:v>56</x:v>
      </x:c>
      <x:c r="C312" s="9" t="s">
        <x:v>88</x:v>
      </x:c>
      <x:c r="D312" s="9">
        <x:v>10</x:v>
      </x:c>
      <x:c r="E312" s="9">
        <x:v>7</x:v>
      </x:c>
      <x:c r="F312" s="9">
        <x:v>12</x:v>
      </x:c>
      <x:c r="G312" s="16" t="s">
        <x:v>54</x:v>
      </x:c>
    </x:row>
    <x:row r="313" spans="1:7">
      <x:c r="A313" s="20" t="s">
        <x:v>62</x:v>
      </x:c>
      <x:c r="B313" s="2" t="s">
        <x:v>34</x:v>
      </x:c>
      <x:c r="C313" s="9" t="s">
        <x:v>110</x:v>
      </x:c>
      <x:c r="D313" s="9">
        <x:v>9</x:v>
      </x:c>
      <x:c r="E313" s="9">
        <x:v>8</x:v>
      </x:c>
      <x:c r="F313" s="9">
        <x:v>13</x:v>
      </x:c>
      <x:c r="G313" s="16" t="s">
        <x:v>54</x:v>
      </x:c>
    </x:row>
    <x:row r="314" spans="1:7">
      <x:c r="A314" s="20" t="s">
        <x:v>70</x:v>
      </x:c>
      <x:c r="B314" s="2" t="s">
        <x:v>25</x:v>
      </x:c>
      <x:c r="C314" s="9" t="s">
        <x:v>168</x:v>
      </x:c>
      <x:c r="D314" s="9">
        <x:v>4</x:v>
      </x:c>
      <x:c r="E314" s="9">
        <x:v>6</x:v>
      </x:c>
      <x:c r="F314" s="9">
        <x:v>8</x:v>
      </x:c>
      <x:c r="G314" s="16" t="s">
        <x:v>54</x:v>
      </x:c>
    </x:row>
    <x:row r="315" spans="1:7" ht="16.75">
      <x:c r="A315" s="21" t="s">
        <x:v>71</x:v>
      </x:c>
      <x:c r="B315" s="12" t="s">
        <x:v>72</x:v>
      </x:c>
      <x:c r="C315" s="13" t="s">
        <x:v>103</x:v>
      </x:c>
      <x:c r="D315" s="13">
        <x:v>2</x:v>
      </x:c>
      <x:c r="E315" s="13">
        <x:v>8</x:v>
      </x:c>
      <x:c r="F315" s="13">
        <x:v>14</x:v>
      </x:c>
      <x:c r="G315" s="17" t="s">
        <x:v>54</x:v>
      </x:c>
    </x:row>
    <x:row r="317" spans="1:7">
      <x:c r="A317" s="1" t="s">
        <x:v>35</x:v>
      </x:c>
      <x:c r="B317" s="1" t="s">
        <x:v>30</x:v>
      </x:c>
      <x:c r="C317" s="1" t="s">
        <x:v>0</x:v>
      </x:c>
      <x:c r="D317" s="24" t="s">
        <x:v>19</x:v>
      </x:c>
      <x:c r="E317" s="24" t="s">
        <x:v>26</x:v>
      </x:c>
      <x:c r="F317" s="24" t="s">
        <x:v>32</x:v>
      </x:c>
      <x:c r="G317" s="1" t="s">
        <x:v>36</x:v>
      </x:c>
    </x:row>
    <x:row r="318" spans="1:7" ht="16.75">
      <x:c r="A318" s="22" t="s">
        <x:v>75</x:v>
      </x:c>
      <x:c r="B318" s="14" t="s">
        <x:v>33</x:v>
      </x:c>
      <x:c r="C318" s="23" t="s">
        <x:v>140</x:v>
      </x:c>
      <x:c r="D318" s="23">
        <x:v>7</x:v>
      </x:c>
      <x:c r="E318" s="23">
        <x:v>3</x:v>
      </x:c>
      <x:c r="F318" s="23">
        <x:v>1</x:v>
      </x:c>
      <x:c r="G318" s="15" t="s">
        <x:v>39</x:v>
      </x:c>
    </x:row>
    <x:row r="319" spans="1:7">
      <x:c r="A319" s="20" t="s">
        <x:v>22</x:v>
      </x:c>
      <x:c r="B319" s="2" t="s">
        <x:v>56</x:v>
      </x:c>
      <x:c r="C319" s="9" t="s">
        <x:v>113</x:v>
      </x:c>
      <x:c r="D319" s="9">
        <x:v>8</x:v>
      </x:c>
      <x:c r="E319" s="9">
        <x:v>0</x:v>
      </x:c>
      <x:c r="F319" s="9">
        <x:v>8</x:v>
      </x:c>
      <x:c r="G319" s="16" t="s">
        <x:v>39</x:v>
      </x:c>
    </x:row>
    <x:row r="320" spans="1:7">
      <x:c r="A320" s="20" t="s">
        <x:v>60</x:v>
      </x:c>
      <x:c r="B320" s="2" t="s">
        <x:v>34</x:v>
      </x:c>
      <x:c r="C320" s="9" t="s">
        <x:v>135</x:v>
      </x:c>
      <x:c r="D320" s="9">
        <x:v>3</x:v>
      </x:c>
      <x:c r="E320" s="9">
        <x:v>6</x:v>
      </x:c>
      <x:c r="F320" s="9">
        <x:v>9</x:v>
      </x:c>
      <x:c r="G320" s="16" t="s">
        <x:v>39</x:v>
      </x:c>
    </x:row>
    <x:row r="321" spans="1:7">
      <x:c r="A321" s="20" t="s">
        <x:v>50</x:v>
      </x:c>
      <x:c r="B321" s="2" t="s">
        <x:v>25</x:v>
      </x:c>
      <x:c r="C321" s="9" t="s">
        <x:v>102</x:v>
      </x:c>
      <x:c r="D321" s="9">
        <x:v>8</x:v>
      </x:c>
      <x:c r="E321" s="9">
        <x:v>0</x:v>
      </x:c>
      <x:c r="F321" s="9">
        <x:v>1</x:v>
      </x:c>
      <x:c r="G321" s="16" t="s">
        <x:v>39</x:v>
      </x:c>
    </x:row>
    <x:row r="322" spans="1:7" ht="16.75">
      <x:c r="A322" s="21" t="s">
        <x:v>58</x:v>
      </x:c>
      <x:c r="B322" s="12" t="s">
        <x:v>72</x:v>
      </x:c>
      <x:c r="C322" s="13" t="s">
        <x:v>145</x:v>
      </x:c>
      <x:c r="D322" s="13">
        <x:v>0</x:v>
      </x:c>
      <x:c r="E322" s="13">
        <x:v>1</x:v>
      </x:c>
      <x:c r="F322" s="13">
        <x:v>9</x:v>
      </x:c>
      <x:c r="G322" s="17" t="s">
        <x:v>39</x:v>
      </x:c>
    </x:row>
    <x:row r="323" spans="1:7" ht="16.75">
      <x:c r="A323" s="19" t="s">
        <x:v>73</x:v>
      </x:c>
      <x:c r="B323" s="10" t="s">
        <x:v>33</x:v>
      </x:c>
      <x:c r="C323" s="11" t="s">
        <x:v>143</x:v>
      </x:c>
      <x:c r="D323" s="11">
        <x:v>2</x:v>
      </x:c>
      <x:c r="E323" s="11">
        <x:v>8</x:v>
      </x:c>
      <x:c r="F323" s="11">
        <x:v>0</x:v>
      </x:c>
      <x:c r="G323" s="18" t="s">
        <x:v>54</x:v>
      </x:c>
    </x:row>
    <x:row r="324" spans="1:7">
      <x:c r="A324" s="20" t="s">
        <x:v>61</x:v>
      </x:c>
      <x:c r="B324" s="2" t="s">
        <x:v>56</x:v>
      </x:c>
      <x:c r="C324" s="9" t="s">
        <x:v>92</x:v>
      </x:c>
      <x:c r="D324" s="9">
        <x:v>0</x:v>
      </x:c>
      <x:c r="E324" s="9">
        <x:v>4</x:v>
      </x:c>
      <x:c r="F324" s="9">
        <x:v>1</x:v>
      </x:c>
      <x:c r="G324" s="16" t="s">
        <x:v>54</x:v>
      </x:c>
    </x:row>
    <x:row r="325" spans="1:7">
      <x:c r="A325" s="20" t="s">
        <x:v>62</x:v>
      </x:c>
      <x:c r="B325" s="2" t="s">
        <x:v>34</x:v>
      </x:c>
      <x:c r="C325" s="9" t="s">
        <x:v>52</x:v>
      </x:c>
      <x:c r="D325" s="9">
        <x:v>5</x:v>
      </x:c>
      <x:c r="E325" s="9">
        <x:v>7</x:v>
      </x:c>
      <x:c r="F325" s="9">
        <x:v>1</x:v>
      </x:c>
      <x:c r="G325" s="16" t="s">
        <x:v>54</x:v>
      </x:c>
    </x:row>
    <x:row r="326" spans="1:7">
      <x:c r="A326" s="20" t="s">
        <x:v>70</x:v>
      </x:c>
      <x:c r="B326" s="2" t="s">
        <x:v>25</x:v>
      </x:c>
      <x:c r="C326" s="9" t="s">
        <x:v>159</x:v>
      </x:c>
      <x:c r="D326" s="9">
        <x:v>2</x:v>
      </x:c>
      <x:c r="E326" s="9">
        <x:v>4</x:v>
      </x:c>
      <x:c r="F326" s="9">
        <x:v>0</x:v>
      </x:c>
      <x:c r="G326" s="16" t="s">
        <x:v>54</x:v>
      </x:c>
    </x:row>
    <x:row r="327" spans="1:7" ht="16.75">
      <x:c r="A327" s="21" t="s">
        <x:v>71</x:v>
      </x:c>
      <x:c r="B327" s="12" t="s">
        <x:v>72</x:v>
      </x:c>
      <x:c r="C327" s="13" t="s">
        <x:v>80</x:v>
      </x:c>
      <x:c r="D327" s="13">
        <x:v>1</x:v>
      </x:c>
      <x:c r="E327" s="13">
        <x:v>3</x:v>
      </x:c>
      <x:c r="F327" s="13">
        <x:v>4</x:v>
      </x:c>
      <x:c r="G327" s="17" t="s">
        <x:v>54</x:v>
      </x:c>
    </x:row>
    <x:row r="329" spans="1:7">
      <x:c r="A329" s="1" t="s">
        <x:v>35</x:v>
      </x:c>
      <x:c r="B329" s="1" t="s">
        <x:v>30</x:v>
      </x:c>
      <x:c r="C329" s="1" t="s">
        <x:v>0</x:v>
      </x:c>
      <x:c r="D329" s="24" t="s">
        <x:v>19</x:v>
      </x:c>
      <x:c r="E329" s="24" t="s">
        <x:v>26</x:v>
      </x:c>
      <x:c r="F329" s="24" t="s">
        <x:v>32</x:v>
      </x:c>
      <x:c r="G329" s="1" t="s">
        <x:v>36</x:v>
      </x:c>
    </x:row>
    <x:row r="330" spans="1:7" ht="16.75">
      <x:c r="A330" s="22" t="s">
        <x:v>21</x:v>
      </x:c>
      <x:c r="B330" s="14" t="s">
        <x:v>33</x:v>
      </x:c>
      <x:c r="C330" s="23" t="s">
        <x:v>147</x:v>
      </x:c>
      <x:c r="D330" s="23">
        <x:v>9</x:v>
      </x:c>
      <x:c r="E330" s="23">
        <x:v>4</x:v>
      </x:c>
      <x:c r="F330" s="23">
        <x:v>16</x:v>
      </x:c>
      <x:c r="G330" s="15" t="s">
        <x:v>39</x:v>
      </x:c>
    </x:row>
    <x:row r="331" spans="1:7">
      <x:c r="A331" s="20" t="s">
        <x:v>44</x:v>
      </x:c>
      <x:c r="B331" s="2" t="s">
        <x:v>56</x:v>
      </x:c>
      <x:c r="C331" s="9" t="s">
        <x:v>97</x:v>
      </x:c>
      <x:c r="D331" s="9">
        <x:v>12</x:v>
      </x:c>
      <x:c r="E331" s="9">
        <x:v>7</x:v>
      </x:c>
      <x:c r="F331" s="9">
        <x:v>18</x:v>
      </x:c>
      <x:c r="G331" s="16" t="s">
        <x:v>39</x:v>
      </x:c>
    </x:row>
    <x:row r="332" spans="1:7">
      <x:c r="A332" s="20" t="s">
        <x:v>59</x:v>
      </x:c>
      <x:c r="B332" s="2" t="s">
        <x:v>34</x:v>
      </x:c>
      <x:c r="C332" s="9" t="s">
        <x:v>40</x:v>
      </x:c>
      <x:c r="D332" s="9">
        <x:v>8</x:v>
      </x:c>
      <x:c r="E332" s="9">
        <x:v>6</x:v>
      </x:c>
      <x:c r="F332" s="9">
        <x:v>20</x:v>
      </x:c>
      <x:c r="G332" s="16" t="s">
        <x:v>39</x:v>
      </x:c>
    </x:row>
    <x:row r="333" spans="1:7">
      <x:c r="A333" s="20" t="s">
        <x:v>139</x:v>
      </x:c>
      <x:c r="B333" s="2" t="s">
        <x:v>25</x:v>
      </x:c>
      <x:c r="C333" s="9" t="s">
        <x:v>168</x:v>
      </x:c>
      <x:c r="D333" s="9">
        <x:v>12</x:v>
      </x:c>
      <x:c r="E333" s="9">
        <x:v>7</x:v>
      </x:c>
      <x:c r="F333" s="9">
        <x:v>10</x:v>
      </x:c>
      <x:c r="G333" s="16" t="s">
        <x:v>39</x:v>
      </x:c>
    </x:row>
    <x:row r="334" spans="1:7" ht="16.75">
      <x:c r="A334" s="53" t="s">
        <x:v>182</x:v>
      </x:c>
      <x:c r="B334" s="12" t="s">
        <x:v>72</x:v>
      </x:c>
      <x:c r="C334" s="13" t="s">
        <x:v>132</x:v>
      </x:c>
      <x:c r="D334" s="13">
        <x:v>4</x:v>
      </x:c>
      <x:c r="E334" s="13">
        <x:v>11</x:v>
      </x:c>
      <x:c r="F334" s="13">
        <x:v>10</x:v>
      </x:c>
      <x:c r="G334" s="17" t="s">
        <x:v>39</x:v>
      </x:c>
    </x:row>
    <x:row r="335" spans="1:7" ht="16.75">
      <x:c r="A335" s="19" t="s">
        <x:v>76</x:v>
      </x:c>
      <x:c r="B335" s="10" t="s">
        <x:v>33</x:v>
      </x:c>
      <x:c r="C335" s="11" t="s">
        <x:v>106</x:v>
      </x:c>
      <x:c r="D335" s="11">
        <x:v>6</x:v>
      </x:c>
      <x:c r="E335" s="11">
        <x:v>6</x:v>
      </x:c>
      <x:c r="F335" s="11">
        <x:v>14</x:v>
      </x:c>
      <x:c r="G335" s="18" t="s">
        <x:v>54</x:v>
      </x:c>
    </x:row>
    <x:row r="336" spans="1:7">
      <x:c r="A336" s="54" t="s">
        <x:v>155</x:v>
      </x:c>
      <x:c r="B336" s="2" t="s">
        <x:v>56</x:v>
      </x:c>
      <x:c r="C336" s="9" t="s">
        <x:v>129</x:v>
      </x:c>
      <x:c r="D336" s="9">
        <x:v>4</x:v>
      </x:c>
      <x:c r="E336" s="9">
        <x:v>11</x:v>
      </x:c>
      <x:c r="F336" s="9">
        <x:v>20</x:v>
      </x:c>
      <x:c r="G336" s="16" t="s">
        <x:v>54</x:v>
      </x:c>
    </x:row>
    <x:row r="337" spans="1:7">
      <x:c r="A337" s="20" t="s">
        <x:v>123</x:v>
      </x:c>
      <x:c r="B337" s="2" t="s">
        <x:v>34</x:v>
      </x:c>
      <x:c r="C337" s="9" t="s">
        <x:v>114</x:v>
      </x:c>
      <x:c r="D337" s="9">
        <x:v>7</x:v>
      </x:c>
      <x:c r="E337" s="9">
        <x:v>11</x:v>
      </x:c>
      <x:c r="F337" s="9">
        <x:v>11</x:v>
      </x:c>
      <x:c r="G337" s="16" t="s">
        <x:v>54</x:v>
      </x:c>
    </x:row>
    <x:row r="338" spans="1:7">
      <x:c r="A338" s="20" t="s">
        <x:v>57</x:v>
      </x:c>
      <x:c r="B338" s="2" t="s">
        <x:v>25</x:v>
      </x:c>
      <x:c r="C338" s="9" t="s">
        <x:v>111</x:v>
      </x:c>
      <x:c r="D338" s="9">
        <x:v>5</x:v>
      </x:c>
      <x:c r="E338" s="9">
        <x:v>7</x:v>
      </x:c>
      <x:c r="F338" s="9">
        <x:v>14</x:v>
      </x:c>
      <x:c r="G338" s="16" t="s">
        <x:v>54</x:v>
      </x:c>
    </x:row>
    <x:row r="339" spans="1:7" ht="16.75">
      <x:c r="A339" s="21" t="s">
        <x:v>28</x:v>
      </x:c>
      <x:c r="B339" s="12" t="s">
        <x:v>72</x:v>
      </x:c>
      <x:c r="C339" s="13" t="s">
        <x:v>104</x:v>
      </x:c>
      <x:c r="D339" s="13">
        <x:v>13</x:v>
      </x:c>
      <x:c r="E339" s="13">
        <x:v>10</x:v>
      </x:c>
      <x:c r="F339" s="13">
        <x:v>15</x:v>
      </x:c>
      <x:c r="G339" s="17" t="s">
        <x:v>54</x:v>
      </x:c>
    </x:row>
    <x:row r="341" spans="1:7">
      <x:c r="A341" s="1" t="s">
        <x:v>35</x:v>
      </x:c>
      <x:c r="B341" s="1" t="s">
        <x:v>30</x:v>
      </x:c>
      <x:c r="C341" s="1" t="s">
        <x:v>0</x:v>
      </x:c>
      <x:c r="D341" s="24" t="s">
        <x:v>19</x:v>
      </x:c>
      <x:c r="E341" s="24" t="s">
        <x:v>26</x:v>
      </x:c>
      <x:c r="F341" s="24" t="s">
        <x:v>32</x:v>
      </x:c>
      <x:c r="G341" s="1" t="s">
        <x:v>36</x:v>
      </x:c>
    </x:row>
    <x:row r="342" spans="1:7" ht="16.75">
      <x:c r="A342" s="19" t="s">
        <x:v>73</x:v>
      </x:c>
      <x:c r="B342" s="14" t="s">
        <x:v>33</x:v>
      </x:c>
      <x:c r="C342" s="23" t="s">
        <x:v>170</x:v>
      </x:c>
      <x:c r="D342" s="23">
        <x:v>11</x:v>
      </x:c>
      <x:c r="E342" s="23">
        <x:v>5</x:v>
      </x:c>
      <x:c r="F342" s="23">
        <x:v>9</x:v>
      </x:c>
      <x:c r="G342" s="15" t="s">
        <x:v>39</x:v>
      </x:c>
    </x:row>
    <x:row r="343" spans="1:7">
      <x:c r="A343" s="20" t="s">
        <x:v>71</x:v>
      </x:c>
      <x:c r="B343" s="2" t="s">
        <x:v>56</x:v>
      </x:c>
      <x:c r="C343" s="9" t="s">
        <x:v>88</x:v>
      </x:c>
      <x:c r="D343" s="9">
        <x:v>10</x:v>
      </x:c>
      <x:c r="E343" s="9">
        <x:v>6</x:v>
      </x:c>
      <x:c r="F343" s="9">
        <x:v>13</x:v>
      </x:c>
      <x:c r="G343" s="16" t="s">
        <x:v>39</x:v>
      </x:c>
    </x:row>
    <x:row r="344" spans="1:7">
      <x:c r="A344" s="20" t="s">
        <x:v>62</x:v>
      </x:c>
      <x:c r="B344" s="2" t="s">
        <x:v>34</x:v>
      </x:c>
      <x:c r="C344" s="9" t="s">
        <x:v>64</x:v>
      </x:c>
      <x:c r="D344" s="9">
        <x:v>15</x:v>
      </x:c>
      <x:c r="E344" s="9">
        <x:v>4</x:v>
      </x:c>
      <x:c r="F344" s="9">
        <x:v>12</x:v>
      </x:c>
      <x:c r="G344" s="16" t="s">
        <x:v>39</x:v>
      </x:c>
    </x:row>
    <x:row r="345" spans="1:7">
      <x:c r="A345" s="20" t="s">
        <x:v>70</x:v>
      </x:c>
      <x:c r="B345" s="2" t="s">
        <x:v>25</x:v>
      </x:c>
      <x:c r="C345" s="9" t="s">
        <x:v>111</x:v>
      </x:c>
      <x:c r="D345" s="9">
        <x:v>4</x:v>
      </x:c>
      <x:c r="E345" s="9">
        <x:v>3</x:v>
      </x:c>
      <x:c r="F345" s="9">
        <x:v>10</x:v>
      </x:c>
      <x:c r="G345" s="16" t="s">
        <x:v>39</x:v>
      </x:c>
    </x:row>
    <x:row r="346" spans="1:7" ht="16.75">
      <x:c r="A346" s="21" t="s">
        <x:v>61</x:v>
      </x:c>
      <x:c r="B346" s="12" t="s">
        <x:v>72</x:v>
      </x:c>
      <x:c r="C346" s="13" t="s">
        <x:v>51</x:v>
      </x:c>
      <x:c r="D346" s="13">
        <x:v>0</x:v>
      </x:c>
      <x:c r="E346" s="13">
        <x:v>2</x:v>
      </x:c>
      <x:c r="F346" s="13">
        <x:v>22</x:v>
      </x:c>
      <x:c r="G346" s="17" t="s">
        <x:v>39</x:v>
      </x:c>
    </x:row>
    <x:row r="347" spans="1:7">
      <x:c r="A347" s="22" t="s">
        <x:v>75</x:v>
      </x:c>
      <x:c r="B347" s="10" t="s">
        <x:v>33</x:v>
      </x:c>
      <x:c r="C347" s="11" t="s">
        <x:v>179</x:v>
      </x:c>
      <x:c r="D347" s="11">
        <x:v>2</x:v>
      </x:c>
      <x:c r="E347" s="11">
        <x:v>6</x:v>
      </x:c>
      <x:c r="F347" s="11">
        <x:v>4</x:v>
      </x:c>
      <x:c r="G347" s="18" t="s">
        <x:v>54</x:v>
      </x:c>
    </x:row>
    <x:row r="348" spans="1:7">
      <x:c r="A348" s="20" t="s">
        <x:v>22</x:v>
      </x:c>
      <x:c r="B348" s="2" t="s">
        <x:v>56</x:v>
      </x:c>
      <x:c r="C348" s="9" t="s">
        <x:v>188</x:v>
      </x:c>
      <x:c r="D348" s="9">
        <x:v>9</x:v>
      </x:c>
      <x:c r="E348" s="9">
        <x:v>6</x:v>
      </x:c>
      <x:c r="F348" s="9">
        <x:v>4</x:v>
      </x:c>
      <x:c r="G348" s="16" t="s">
        <x:v>54</x:v>
      </x:c>
    </x:row>
    <x:row r="349" spans="1:7">
      <x:c r="A349" s="20" t="s">
        <x:v>60</x:v>
      </x:c>
      <x:c r="B349" s="2" t="s">
        <x:v>34</x:v>
      </x:c>
      <x:c r="C349" s="9" t="s">
        <x:v>108</x:v>
      </x:c>
      <x:c r="D349" s="9">
        <x:v>4</x:v>
      </x:c>
      <x:c r="E349" s="9">
        <x:v>15</x:v>
      </x:c>
      <x:c r="F349" s="9">
        <x:v>6</x:v>
      </x:c>
      <x:c r="G349" s="16" t="s">
        <x:v>54</x:v>
      </x:c>
    </x:row>
    <x:row r="350" spans="1:7">
      <x:c r="A350" s="20" t="s">
        <x:v>50</x:v>
      </x:c>
      <x:c r="B350" s="2" t="s">
        <x:v>25</x:v>
      </x:c>
      <x:c r="C350" s="9" t="s">
        <x:v>156</x:v>
      </x:c>
      <x:c r="D350" s="9">
        <x:v>4</x:v>
      </x:c>
      <x:c r="E350" s="9">
        <x:v>7</x:v>
      </x:c>
      <x:c r="F350" s="9">
        <x:v>5</x:v>
      </x:c>
      <x:c r="G350" s="16" t="s">
        <x:v>54</x:v>
      </x:c>
    </x:row>
    <x:row r="351" spans="1:7" ht="16.75">
      <x:c r="A351" s="21" t="s">
        <x:v>58</x:v>
      </x:c>
      <x:c r="B351" s="12" t="s">
        <x:v>72</x:v>
      </x:c>
      <x:c r="C351" s="13" t="s">
        <x:v>115</x:v>
      </x:c>
      <x:c r="D351" s="13">
        <x:v>1</x:v>
      </x:c>
      <x:c r="E351" s="13">
        <x:v>6</x:v>
      </x:c>
      <x:c r="F351" s="13">
        <x:v>10</x:v>
      </x:c>
      <x:c r="G351" s="17" t="s">
        <x:v>54</x:v>
      </x:c>
    </x:row>
    <x:row r="353" spans="1:7">
      <x:c r="A353" s="1" t="s">
        <x:v>35</x:v>
      </x:c>
      <x:c r="B353" s="1" t="s">
        <x:v>30</x:v>
      </x:c>
      <x:c r="C353" s="1" t="s">
        <x:v>0</x:v>
      </x:c>
      <x:c r="D353" s="24" t="s">
        <x:v>19</x:v>
      </x:c>
      <x:c r="E353" s="24" t="s">
        <x:v>26</x:v>
      </x:c>
      <x:c r="F353" s="24" t="s">
        <x:v>32</x:v>
      </x:c>
      <x:c r="G353" s="1" t="s">
        <x:v>36</x:v>
      </x:c>
    </x:row>
    <x:row r="354" spans="1:7" ht="16.75">
      <x:c r="A354" s="22" t="s">
        <x:v>21</x:v>
      </x:c>
      <x:c r="B354" s="14" t="s">
        <x:v>33</x:v>
      </x:c>
      <x:c r="C354" s="23" t="s">
        <x:v>107</x:v>
      </x:c>
      <x:c r="D354" s="23">
        <x:v>15</x:v>
      </x:c>
      <x:c r="E354" s="23">
        <x:v>3</x:v>
      </x:c>
      <x:c r="F354" s="23">
        <x:v>6</x:v>
      </x:c>
      <x:c r="G354" s="15" t="s">
        <x:v>39</x:v>
      </x:c>
    </x:row>
    <x:row r="355" spans="1:7">
      <x:c r="A355" s="20" t="s">
        <x:v>155</x:v>
      </x:c>
      <x:c r="B355" s="2" t="s">
        <x:v>56</x:v>
      </x:c>
      <x:c r="C355" s="9" t="s">
        <x:v>92</x:v>
      </x:c>
      <x:c r="D355" s="9">
        <x:v>9</x:v>
      </x:c>
      <x:c r="E355" s="9">
        <x:v>3</x:v>
      </x:c>
      <x:c r="F355" s="9">
        <x:v>14</x:v>
      </x:c>
      <x:c r="G355" s="16" t="s">
        <x:v>39</x:v>
      </x:c>
    </x:row>
    <x:row r="356" spans="1:7">
      <x:c r="A356" s="20" t="s">
        <x:v>59</x:v>
      </x:c>
      <x:c r="B356" s="2" t="s">
        <x:v>34</x:v>
      </x:c>
      <x:c r="C356" s="9" t="s">
        <x:v>79</x:v>
      </x:c>
      <x:c r="D356" s="9">
        <x:v>5</x:v>
      </x:c>
      <x:c r="E356" s="9">
        <x:v>4</x:v>
      </x:c>
      <x:c r="F356" s="9">
        <x:v>12</x:v>
      </x:c>
      <x:c r="G356" s="16" t="s">
        <x:v>39</x:v>
      </x:c>
    </x:row>
    <x:row r="357" spans="1:7">
      <x:c r="A357" s="20" t="s">
        <x:v>57</x:v>
      </x:c>
      <x:c r="B357" s="2" t="s">
        <x:v>25</x:v>
      </x:c>
      <x:c r="C357" s="9" t="s">
        <x:v>69</x:v>
      </x:c>
      <x:c r="D357" s="9">
        <x:v>5</x:v>
      </x:c>
      <x:c r="E357" s="9">
        <x:v>4</x:v>
      </x:c>
      <x:c r="F357" s="9">
        <x:v>15</x:v>
      </x:c>
      <x:c r="G357" s="16" t="s">
        <x:v>39</x:v>
      </x:c>
    </x:row>
    <x:row r="358" spans="1:7" ht="16.75">
      <x:c r="A358" s="56" t="s">
        <x:v>182</x:v>
      </x:c>
      <x:c r="B358" s="12" t="s">
        <x:v>72</x:v>
      </x:c>
      <x:c r="C358" s="13" t="s">
        <x:v>125</x:v>
      </x:c>
      <x:c r="D358" s="13">
        <x:v>0</x:v>
      </x:c>
      <x:c r="E358" s="13">
        <x:v>4</x:v>
      </x:c>
      <x:c r="F358" s="13">
        <x:v>22</x:v>
      </x:c>
      <x:c r="G358" s="17" t="s">
        <x:v>39</x:v>
      </x:c>
    </x:row>
    <x:row r="359" spans="1:7" ht="16.75">
      <x:c r="A359" s="19" t="s">
        <x:v>76</x:v>
      </x:c>
      <x:c r="B359" s="10" t="s">
        <x:v>33</x:v>
      </x:c>
      <x:c r="C359" s="11" t="s">
        <x:v>52</x:v>
      </x:c>
      <x:c r="D359" s="11">
        <x:v>0</x:v>
      </x:c>
      <x:c r="E359" s="11">
        <x:v>8</x:v>
      </x:c>
      <x:c r="F359" s="11">
        <x:v>7</x:v>
      </x:c>
      <x:c r="G359" s="18" t="s">
        <x:v>54</x:v>
      </x:c>
    </x:row>
    <x:row r="360" spans="1:7">
      <x:c r="A360" s="57" t="s">
        <x:v>123</x:v>
      </x:c>
      <x:c r="B360" s="2" t="s">
        <x:v>56</x:v>
      </x:c>
      <x:c r="C360" s="9" t="s">
        <x:v>117</x:v>
      </x:c>
      <x:c r="D360" s="9">
        <x:v>4</x:v>
      </x:c>
      <x:c r="E360" s="9">
        <x:v>7</x:v>
      </x:c>
      <x:c r="F360" s="9">
        <x:v>6</x:v>
      </x:c>
      <x:c r="G360" s="16" t="s">
        <x:v>54</x:v>
      </x:c>
    </x:row>
    <x:row r="361" spans="1:7">
      <x:c r="A361" s="20" t="s">
        <x:v>37</x:v>
      </x:c>
      <x:c r="B361" s="2" t="s">
        <x:v>34</x:v>
      </x:c>
      <x:c r="C361" s="9" t="s">
        <x:v>66</x:v>
      </x:c>
      <x:c r="D361" s="9">
        <x:v>11</x:v>
      </x:c>
      <x:c r="E361" s="9">
        <x:v>4</x:v>
      </x:c>
      <x:c r="F361" s="9">
        <x:v>4</x:v>
      </x:c>
      <x:c r="G361" s="16" t="s">
        <x:v>54</x:v>
      </x:c>
    </x:row>
    <x:row r="362" spans="1:7">
      <x:c r="A362" s="20" t="s">
        <x:v>44</x:v>
      </x:c>
      <x:c r="B362" s="2" t="s">
        <x:v>25</x:v>
      </x:c>
      <x:c r="C362" s="9" t="s">
        <x:v>159</x:v>
      </x:c>
      <x:c r="D362" s="9">
        <x:v>2</x:v>
      </x:c>
      <x:c r="E362" s="9">
        <x:v>6</x:v>
      </x:c>
      <x:c r="F362" s="9">
        <x:v>7</x:v>
      </x:c>
      <x:c r="G362" s="16" t="s">
        <x:v>54</x:v>
      </x:c>
    </x:row>
    <x:row r="363" spans="1:7" ht="16.75">
      <x:c r="A363" s="21" t="s">
        <x:v>28</x:v>
      </x:c>
      <x:c r="B363" s="12" t="s">
        <x:v>72</x:v>
      </x:c>
      <x:c r="C363" s="13" t="s">
        <x:v>166</x:v>
      </x:c>
      <x:c r="D363" s="13">
        <x:v>1</x:v>
      </x:c>
      <x:c r="E363" s="13">
        <x:v>9</x:v>
      </x:c>
      <x:c r="F363" s="13">
        <x:v>14</x:v>
      </x:c>
      <x:c r="G363" s="17" t="s">
        <x:v>54</x:v>
      </x:c>
    </x:row>
    <x:row r="365" spans="1:7">
      <x:c r="A365" s="1" t="s">
        <x:v>35</x:v>
      </x:c>
      <x:c r="B365" s="1" t="s">
        <x:v>30</x:v>
      </x:c>
      <x:c r="C365" s="1" t="s">
        <x:v>0</x:v>
      </x:c>
      <x:c r="D365" s="24" t="s">
        <x:v>19</x:v>
      </x:c>
      <x:c r="E365" s="24" t="s">
        <x:v>26</x:v>
      </x:c>
      <x:c r="F365" s="24" t="s">
        <x:v>32</x:v>
      </x:c>
      <x:c r="G365" s="1" t="s">
        <x:v>36</x:v>
      </x:c>
    </x:row>
    <x:row r="366" spans="1:7" ht="16.75">
      <x:c r="A366" s="22" t="s">
        <x:v>76</x:v>
      </x:c>
      <x:c r="B366" s="14" t="s">
        <x:v>33</x:v>
      </x:c>
      <x:c r="C366" s="23" t="s">
        <x:v>79</x:v>
      </x:c>
      <x:c r="D366" s="23">
        <x:v>8</x:v>
      </x:c>
      <x:c r="E366" s="23">
        <x:v>4</x:v>
      </x:c>
      <x:c r="F366" s="23">
        <x:v>12</x:v>
      </x:c>
      <x:c r="G366" s="15" t="s">
        <x:v>39</x:v>
      </x:c>
    </x:row>
    <x:row r="367" spans="1:7">
      <x:c r="A367" s="20" t="s">
        <x:v>28</x:v>
      </x:c>
      <x:c r="B367" s="2" t="s">
        <x:v>56</x:v>
      </x:c>
      <x:c r="C367" s="9" t="s">
        <x:v>146</x:v>
      </x:c>
      <x:c r="D367" s="9">
        <x:v>13</x:v>
      </x:c>
      <x:c r="E367" s="9">
        <x:v>4</x:v>
      </x:c>
      <x:c r="F367" s="9">
        <x:v>6</x:v>
      </x:c>
      <x:c r="G367" s="16" t="s">
        <x:v>39</x:v>
      </x:c>
    </x:row>
    <x:row r="368" spans="1:7">
      <x:c r="A368" s="20" t="s">
        <x:v>60</x:v>
      </x:c>
      <x:c r="B368" s="2" t="s">
        <x:v>34</x:v>
      </x:c>
      <x:c r="C368" s="9" t="s">
        <x:v>188</x:v>
      </x:c>
      <x:c r="D368" s="9">
        <x:v>15</x:v>
      </x:c>
      <x:c r="E368" s="9">
        <x:v>5</x:v>
      </x:c>
      <x:c r="F368" s="9">
        <x:v>9</x:v>
      </x:c>
      <x:c r="G368" s="16" t="s">
        <x:v>39</x:v>
      </x:c>
    </x:row>
    <x:row r="369" spans="1:7">
      <x:c r="A369" s="20" t="s">
        <x:v>50</x:v>
      </x:c>
      <x:c r="B369" s="2" t="s">
        <x:v>25</x:v>
      </x:c>
      <x:c r="C369" s="9" t="s">
        <x:v>168</x:v>
      </x:c>
      <x:c r="D369" s="9">
        <x:v>3</x:v>
      </x:c>
      <x:c r="E369" s="9">
        <x:v>5</x:v>
      </x:c>
      <x:c r="F369" s="9">
        <x:v>6</x:v>
      </x:c>
      <x:c r="G369" s="16" t="s">
        <x:v>39</x:v>
      </x:c>
    </x:row>
    <x:row r="370" spans="1:7" ht="16.75">
      <x:c r="A370" s="56" t="s">
        <x:v>70</x:v>
      </x:c>
      <x:c r="B370" s="12" t="s">
        <x:v>72</x:v>
      </x:c>
      <x:c r="C370" s="13" t="s">
        <x:v>74</x:v>
      </x:c>
      <x:c r="D370" s="13">
        <x:v>1</x:v>
      </x:c>
      <x:c r="E370" s="13">
        <x:v>2</x:v>
      </x:c>
      <x:c r="F370" s="13">
        <x:v>15</x:v>
      </x:c>
      <x:c r="G370" s="17" t="s">
        <x:v>39</x:v>
      </x:c>
    </x:row>
    <x:row r="371" spans="1:7" ht="16.75">
      <x:c r="A371" s="19" t="s">
        <x:v>151</x:v>
      </x:c>
      <x:c r="B371" s="10" t="s">
        <x:v>33</x:v>
      </x:c>
      <x:c r="C371" s="11" t="s">
        <x:v>81</x:v>
      </x:c>
      <x:c r="D371" s="11">
        <x:v>2</x:v>
      </x:c>
      <x:c r="E371" s="11">
        <x:v>10</x:v>
      </x:c>
      <x:c r="F371" s="11">
        <x:v>7</x:v>
      </x:c>
      <x:c r="G371" s="18" t="s">
        <x:v>54</x:v>
      </x:c>
    </x:row>
    <x:row r="372" spans="1:7">
      <x:c r="A372" s="54" t="s">
        <x:v>124</x:v>
      </x:c>
      <x:c r="B372" s="2" t="s">
        <x:v>56</x:v>
      </x:c>
      <x:c r="C372" s="9" t="s">
        <x:v>88</x:v>
      </x:c>
      <x:c r="D372" s="9">
        <x:v>7</x:v>
      </x:c>
      <x:c r="E372" s="9">
        <x:v>9</x:v>
      </x:c>
      <x:c r="F372" s="9">
        <x:v>6</x:v>
      </x:c>
      <x:c r="G372" s="16" t="s">
        <x:v>54</x:v>
      </x:c>
    </x:row>
    <x:row r="373" spans="1:7">
      <x:c r="A373" s="20" t="s">
        <x:v>150</x:v>
      </x:c>
      <x:c r="B373" s="2" t="s">
        <x:v>34</x:v>
      </x:c>
      <x:c r="C373" s="9" t="s">
        <x:v>152</x:v>
      </x:c>
      <x:c r="D373" s="9">
        <x:v>6</x:v>
      </x:c>
      <x:c r="E373" s="9">
        <x:v>8</x:v>
      </x:c>
      <x:c r="F373" s="9">
        <x:v>4</x:v>
      </x:c>
      <x:c r="G373" s="16" t="s">
        <x:v>54</x:v>
      </x:c>
    </x:row>
    <x:row r="374" spans="1:7">
      <x:c r="A374" s="20" t="s">
        <x:v>57</x:v>
      </x:c>
      <x:c r="B374" s="2" t="s">
        <x:v>25</x:v>
      </x:c>
      <x:c r="C374" s="9" t="s">
        <x:v>69</x:v>
      </x:c>
      <x:c r="D374" s="9">
        <x:v>4</x:v>
      </x:c>
      <x:c r="E374" s="9">
        <x:v>6</x:v>
      </x:c>
      <x:c r="F374" s="9">
        <x:v>5</x:v>
      </x:c>
      <x:c r="G374" s="16" t="s">
        <x:v>54</x:v>
      </x:c>
    </x:row>
    <x:row r="375" spans="1:7" ht="16.75">
      <x:c r="A375" s="21" t="s">
        <x:v>105</x:v>
      </x:c>
      <x:c r="B375" s="12" t="s">
        <x:v>72</x:v>
      </x:c>
      <x:c r="C375" s="13" t="s">
        <x:v>93</x:v>
      </x:c>
      <x:c r="D375" s="13">
        <x:v>1</x:v>
      </x:c>
      <x:c r="E375" s="13">
        <x:v>7</x:v>
      </x:c>
      <x:c r="F375" s="13">
        <x:v>9</x:v>
      </x:c>
      <x:c r="G375" s="17" t="s">
        <x:v>54</x:v>
      </x:c>
    </x:row>
    <x:row r="377" spans="1:7">
      <x:c r="A377" s="1" t="s">
        <x:v>35</x:v>
      </x:c>
      <x:c r="B377" s="1" t="s">
        <x:v>30</x:v>
      </x:c>
      <x:c r="C377" s="1" t="s">
        <x:v>0</x:v>
      </x:c>
      <x:c r="D377" s="24" t="s">
        <x:v>19</x:v>
      </x:c>
      <x:c r="E377" s="24" t="s">
        <x:v>26</x:v>
      </x:c>
      <x:c r="F377" s="24" t="s">
        <x:v>32</x:v>
      </x:c>
      <x:c r="G377" s="1" t="s">
        <x:v>36</x:v>
      </x:c>
    </x:row>
    <x:row r="378" spans="1:7" ht="16.75">
      <x:c r="A378" s="22" t="s">
        <x:v>21</x:v>
      </x:c>
      <x:c r="B378" s="14" t="s">
        <x:v>33</x:v>
      </x:c>
      <x:c r="C378" s="23" t="s">
        <x:v>140</x:v>
      </x:c>
      <x:c r="D378" s="23">
        <x:v>9</x:v>
      </x:c>
      <x:c r="E378" s="23">
        <x:v>2</x:v>
      </x:c>
      <x:c r="F378" s="23">
        <x:v>8</x:v>
      </x:c>
      <x:c r="G378" s="15" t="s">
        <x:v>39</x:v>
      </x:c>
    </x:row>
    <x:row r="379" spans="1:7">
      <x:c r="A379" s="20" t="s">
        <x:v>137</x:v>
      </x:c>
      <x:c r="B379" s="2" t="s">
        <x:v>56</x:v>
      </x:c>
      <x:c r="C379" s="9" t="s">
        <x:v>92</x:v>
      </x:c>
      <x:c r="D379" s="9">
        <x:v>12</x:v>
      </x:c>
      <x:c r="E379" s="9">
        <x:v>1</x:v>
      </x:c>
      <x:c r="F379" s="9">
        <x:v>3</x:v>
      </x:c>
      <x:c r="G379" s="16" t="s">
        <x:v>39</x:v>
      </x:c>
    </x:row>
    <x:row r="380" spans="1:7">
      <x:c r="A380" s="20" t="s">
        <x:v>62</x:v>
      </x:c>
      <x:c r="B380" s="2" t="s">
        <x:v>34</x:v>
      </x:c>
      <x:c r="C380" s="9" t="s">
        <x:v>40</x:v>
      </x:c>
      <x:c r="D380" s="9">
        <x:v>4</x:v>
      </x:c>
      <x:c r="E380" s="9">
        <x:v>3</x:v>
      </x:c>
      <x:c r="F380" s="9">
        <x:v>9</x:v>
      </x:c>
      <x:c r="G380" s="16" t="s">
        <x:v>39</x:v>
      </x:c>
    </x:row>
    <x:row r="381" spans="1:7">
      <x:c r="A381" s="20" t="s">
        <x:v>85</x:v>
      </x:c>
      <x:c r="B381" s="2" t="s">
        <x:v>25</x:v>
      </x:c>
      <x:c r="C381" s="9" t="s">
        <x:v>96</x:v>
      </x:c>
      <x:c r="D381" s="9">
        <x:v>6</x:v>
      </x:c>
      <x:c r="E381" s="9">
        <x:v>2</x:v>
      </x:c>
      <x:c r="F381" s="9">
        <x:v>7</x:v>
      </x:c>
      <x:c r="G381" s="16" t="s">
        <x:v>39</x:v>
      </x:c>
    </x:row>
    <x:row r="382" spans="1:7" ht="16.75">
      <x:c r="A382" s="53" t="s">
        <x:v>130</x:v>
      </x:c>
      <x:c r="B382" s="12" t="s">
        <x:v>72</x:v>
      </x:c>
      <x:c r="C382" s="13" t="s">
        <x:v>120</x:v>
      </x:c>
      <x:c r="D382" s="13">
        <x:v>0</x:v>
      </x:c>
      <x:c r="E382" s="13">
        <x:v>6</x:v>
      </x:c>
      <x:c r="F382" s="13">
        <x:v>12</x:v>
      </x:c>
      <x:c r="G382" s="17" t="s">
        <x:v>39</x:v>
      </x:c>
    </x:row>
    <x:row r="383" spans="1:7" ht="16.75">
      <x:c r="A383" s="19" t="s">
        <x:v>75</x:v>
      </x:c>
      <x:c r="B383" s="10" t="s">
        <x:v>33</x:v>
      </x:c>
      <x:c r="C383" s="11" t="s">
        <x:v>79</x:v>
      </x:c>
      <x:c r="D383" s="11">
        <x:v>1</x:v>
      </x:c>
      <x:c r="E383" s="11">
        <x:v>8</x:v>
      </x:c>
      <x:c r="F383" s="11">
        <x:v>1</x:v>
      </x:c>
      <x:c r="G383" s="18" t="s">
        <x:v>54</x:v>
      </x:c>
    </x:row>
    <x:row r="384" spans="1:7">
      <x:c r="A384" s="57" t="s">
        <x:v>20</x:v>
      </x:c>
      <x:c r="B384" s="2" t="s">
        <x:v>56</x:v>
      </x:c>
      <x:c r="C384" s="9" t="s">
        <x:v>186</x:v>
      </x:c>
      <x:c r="D384" s="9">
        <x:v>2</x:v>
      </x:c>
      <x:c r="E384" s="9">
        <x:v>9</x:v>
      </x:c>
      <x:c r="F384" s="9">
        <x:v>3</x:v>
      </x:c>
      <x:c r="G384" s="16" t="s">
        <x:v>54</x:v>
      </x:c>
    </x:row>
    <x:row r="385" spans="1:7">
      <x:c r="A385" s="20" t="s">
        <x:v>37</x:v>
      </x:c>
      <x:c r="B385" s="2" t="s">
        <x:v>34</x:v>
      </x:c>
      <x:c r="C385" s="9" t="s">
        <x:v>189</x:v>
      </x:c>
      <x:c r="D385" s="9">
        <x:v>8</x:v>
      </x:c>
      <x:c r="E385" s="9">
        <x:v>5</x:v>
      </x:c>
      <x:c r="F385" s="9">
        <x:v>2</x:v>
      </x:c>
      <x:c r="G385" s="16" t="s">
        <x:v>54</x:v>
      </x:c>
    </x:row>
    <x:row r="386" spans="1:7">
      <x:c r="A386" s="20" t="s">
        <x:v>22</x:v>
      </x:c>
      <x:c r="B386" s="2" t="s">
        <x:v>25</x:v>
      </x:c>
      <x:c r="C386" s="9" t="s">
        <x:v>111</x:v>
      </x:c>
      <x:c r="D386" s="9">
        <x:v>3</x:v>
      </x:c>
      <x:c r="E386" s="9">
        <x:v>5</x:v>
      </x:c>
      <x:c r="F386" s="9">
        <x:v>3</x:v>
      </x:c>
      <x:c r="G386" s="16" t="s">
        <x:v>54</x:v>
      </x:c>
    </x:row>
    <x:row r="387" spans="1:7" ht="16.75">
      <x:c r="A387" s="21" t="s">
        <x:v>58</x:v>
      </x:c>
      <x:c r="B387" s="12" t="s">
        <x:v>72</x:v>
      </x:c>
      <x:c r="C387" s="13" t="s">
        <x:v>115</x:v>
      </x:c>
      <x:c r="D387" s="13">
        <x:v>0</x:v>
      </x:c>
      <x:c r="E387" s="13">
        <x:v>4</x:v>
      </x:c>
      <x:c r="F387" s="13">
        <x:v>5</x:v>
      </x:c>
      <x:c r="G387" s="17" t="s">
        <x:v>54</x:v>
      </x:c>
    </x:row>
    <x:row r="389" spans="1:7">
      <x:c r="A389" s="1" t="s">
        <x:v>35</x:v>
      </x:c>
      <x:c r="B389" s="1" t="s">
        <x:v>30</x:v>
      </x:c>
      <x:c r="C389" s="1" t="s">
        <x:v>0</x:v>
      </x:c>
      <x:c r="D389" s="24" t="s">
        <x:v>19</x:v>
      </x:c>
      <x:c r="E389" s="24" t="s">
        <x:v>26</x:v>
      </x:c>
      <x:c r="F389" s="24" t="s">
        <x:v>32</x:v>
      </x:c>
      <x:c r="G389" s="1" t="s">
        <x:v>36</x:v>
      </x:c>
    </x:row>
    <x:row r="390" spans="1:7" ht="16.75">
      <x:c r="A390" s="22" t="s">
        <x:v>21</x:v>
      </x:c>
      <x:c r="B390" s="14" t="s">
        <x:v>33</x:v>
      </x:c>
      <x:c r="C390" s="23" t="s">
        <x:v>143</x:v>
      </x:c>
      <x:c r="D390" s="23">
        <x:v>21</x:v>
      </x:c>
      <x:c r="E390" s="23">
        <x:v>7</x:v>
      </x:c>
      <x:c r="F390" s="23">
        <x:v>5</x:v>
      </x:c>
      <x:c r="G390" s="15" t="s">
        <x:v>39</x:v>
      </x:c>
    </x:row>
    <x:row r="391" spans="1:7">
      <x:c r="A391" s="54" t="s">
        <x:v>137</x:v>
      </x:c>
      <x:c r="B391" s="2" t="s">
        <x:v>56</x:v>
      </x:c>
      <x:c r="C391" s="9" t="s">
        <x:v>97</x:v>
      </x:c>
      <x:c r="D391" s="9">
        <x:v>5</x:v>
      </x:c>
      <x:c r="E391" s="9">
        <x:v>9</x:v>
      </x:c>
      <x:c r="F391" s="9">
        <x:v>8</x:v>
      </x:c>
      <x:c r="G391" s="16" t="s">
        <x:v>39</x:v>
      </x:c>
    </x:row>
    <x:row r="392" spans="1:7">
      <x:c r="A392" s="20" t="s">
        <x:v>62</x:v>
      </x:c>
      <x:c r="B392" s="2" t="s">
        <x:v>34</x:v>
      </x:c>
      <x:c r="C392" s="9" t="s">
        <x:v>165</x:v>
      </x:c>
      <x:c r="D392" s="9">
        <x:v>6</x:v>
      </x:c>
      <x:c r="E392" s="9">
        <x:v>7</x:v>
      </x:c>
      <x:c r="F392" s="9">
        <x:v>8</x:v>
      </x:c>
      <x:c r="G392" s="16" t="s">
        <x:v>39</x:v>
      </x:c>
    </x:row>
    <x:row r="393" spans="1:7">
      <x:c r="A393" s="20" t="s">
        <x:v>85</x:v>
      </x:c>
      <x:c r="B393" s="2" t="s">
        <x:v>25</x:v>
      </x:c>
      <x:c r="C393" s="9" t="s">
        <x:v>159</x:v>
      </x:c>
      <x:c r="D393" s="9">
        <x:v>1</x:v>
      </x:c>
      <x:c r="E393" s="9">
        <x:v>7</x:v>
      </x:c>
      <x:c r="F393" s="9">
        <x:v>10</x:v>
      </x:c>
      <x:c r="G393" s="16" t="s">
        <x:v>39</x:v>
      </x:c>
    </x:row>
    <x:row r="394" spans="1:7" ht="16.75">
      <x:c r="A394" s="53" t="s">
        <x:v>130</x:v>
      </x:c>
      <x:c r="B394" s="12" t="s">
        <x:v>72</x:v>
      </x:c>
      <x:c r="C394" s="13" t="s">
        <x:v>135</x:v>
      </x:c>
      <x:c r="D394" s="13">
        <x:v>1</x:v>
      </x:c>
      <x:c r="E394" s="13">
        <x:v>5</x:v>
      </x:c>
      <x:c r="F394" s="13">
        <x:v>16</x:v>
      </x:c>
      <x:c r="G394" s="17" t="s">
        <x:v>39</x:v>
      </x:c>
    </x:row>
    <x:row r="395" spans="1:7" ht="16.75">
      <x:c r="A395" s="19" t="s">
        <x:v>75</x:v>
      </x:c>
      <x:c r="B395" s="10" t="s">
        <x:v>33</x:v>
      </x:c>
      <x:c r="C395" s="11" t="s">
        <x:v>141</x:v>
      </x:c>
      <x:c r="D395" s="11">
        <x:v>6</x:v>
      </x:c>
      <x:c r="E395" s="11">
        <x:v>8</x:v>
      </x:c>
      <x:c r="F395" s="11">
        <x:v>8</x:v>
      </x:c>
      <x:c r="G395" s="18" t="s">
        <x:v>54</x:v>
      </x:c>
    </x:row>
    <x:row r="396" spans="1:7">
      <x:c r="A396" s="57" t="s">
        <x:v>20</x:v>
      </x:c>
      <x:c r="B396" s="2" t="s">
        <x:v>56</x:v>
      </x:c>
      <x:c r="C396" s="9" t="s">
        <x:v>183</x:v>
      </x:c>
      <x:c r="D396" s="9">
        <x:v>11</x:v>
      </x:c>
      <x:c r="E396" s="9">
        <x:v>6</x:v>
      </x:c>
      <x:c r="F396" s="9">
        <x:v>9</x:v>
      </x:c>
      <x:c r="G396" s="16" t="s">
        <x:v>54</x:v>
      </x:c>
    </x:row>
    <x:row r="397" spans="1:7">
      <x:c r="A397" s="20" t="s">
        <x:v>37</x:v>
      </x:c>
      <x:c r="B397" s="2" t="s">
        <x:v>34</x:v>
      </x:c>
      <x:c r="C397" s="9" t="s">
        <x:v>83</x:v>
      </x:c>
      <x:c r="D397" s="9">
        <x:v>11</x:v>
      </x:c>
      <x:c r="E397" s="9">
        <x:v>9</x:v>
      </x:c>
      <x:c r="F397" s="9">
        <x:v>9</x:v>
      </x:c>
      <x:c r="G397" s="16" t="s">
        <x:v>54</x:v>
      </x:c>
    </x:row>
    <x:row r="398" spans="1:7">
      <x:c r="A398" s="20" t="s">
        <x:v>22</x:v>
      </x:c>
      <x:c r="B398" s="2" t="s">
        <x:v>25</x:v>
      </x:c>
      <x:c r="C398" s="9" t="s">
        <x:v>149</x:v>
      </x:c>
      <x:c r="D398" s="9">
        <x:v>6</x:v>
      </x:c>
      <x:c r="E398" s="9">
        <x:v>6</x:v>
      </x:c>
      <x:c r="F398" s="9">
        <x:v>6</x:v>
      </x:c>
      <x:c r="G398" s="16" t="s">
        <x:v>54</x:v>
      </x:c>
    </x:row>
    <x:row r="399" spans="1:7" ht="16.75">
      <x:c r="A399" s="21" t="s">
        <x:v>58</x:v>
      </x:c>
      <x:c r="B399" s="12" t="s">
        <x:v>72</x:v>
      </x:c>
      <x:c r="C399" s="13" t="s">
        <x:v>84</x:v>
      </x:c>
      <x:c r="D399" s="13">
        <x:v>1</x:v>
      </x:c>
      <x:c r="E399" s="13">
        <x:v>5</x:v>
      </x:c>
      <x:c r="F399" s="13">
        <x:v>11</x:v>
      </x:c>
      <x:c r="G399" s="17" t="s">
        <x:v>54</x:v>
      </x:c>
    </x:row>
    <x:row r="401" spans="1:7">
      <x:c r="A401" s="1" t="s">
        <x:v>35</x:v>
      </x:c>
      <x:c r="B401" s="1" t="s">
        <x:v>30</x:v>
      </x:c>
      <x:c r="C401" s="1" t="s">
        <x:v>0</x:v>
      </x:c>
      <x:c r="D401" s="24" t="s">
        <x:v>19</x:v>
      </x:c>
      <x:c r="E401" s="24" t="s">
        <x:v>26</x:v>
      </x:c>
      <x:c r="F401" s="24" t="s">
        <x:v>32</x:v>
      </x:c>
      <x:c r="G401" s="1" t="s">
        <x:v>36</x:v>
      </x:c>
    </x:row>
    <x:row r="402" spans="1:7" ht="16.75">
      <x:c r="A402" s="59" t="s">
        <x:v>151</x:v>
      </x:c>
      <x:c r="B402" s="10" t="s">
        <x:v>33</x:v>
      </x:c>
      <x:c r="C402" s="11" t="s">
        <x:v>190</x:v>
      </x:c>
      <x:c r="D402" s="11">
        <x:v>9</x:v>
      </x:c>
      <x:c r="E402" s="11">
        <x:v>7</x:v>
      </x:c>
      <x:c r="F402" s="11">
        <x:v>10</x:v>
      </x:c>
      <x:c r="G402" s="15" t="s">
        <x:v>39</x:v>
      </x:c>
    </x:row>
    <x:row r="403" spans="1:7">
      <x:c r="A403" s="54" t="s">
        <x:v>124</x:v>
      </x:c>
      <x:c r="B403" s="2" t="s">
        <x:v>56</x:v>
      </x:c>
      <x:c r="C403" s="9" t="s">
        <x:v>101</x:v>
      </x:c>
      <x:c r="D403" s="9">
        <x:v>15</x:v>
      </x:c>
      <x:c r="E403" s="9">
        <x:v>3</x:v>
      </x:c>
      <x:c r="F403" s="9">
        <x:v>11</x:v>
      </x:c>
      <x:c r="G403" s="16" t="s">
        <x:v>39</x:v>
      </x:c>
    </x:row>
    <x:row r="404" spans="1:7">
      <x:c r="A404" s="54" t="s">
        <x:v>150</x:v>
      </x:c>
      <x:c r="B404" s="2" t="s">
        <x:v>34</x:v>
      </x:c>
      <x:c r="C404" s="9" t="s">
        <x:v>142</x:v>
      </x:c>
      <x:c r="D404" s="9">
        <x:v>8</x:v>
      </x:c>
      <x:c r="E404" s="9">
        <x:v>3</x:v>
      </x:c>
      <x:c r="F404" s="9">
        <x:v>11</x:v>
      </x:c>
      <x:c r="G404" s="16" t="s">
        <x:v>39</x:v>
      </x:c>
    </x:row>
    <x:row r="405" spans="1:7">
      <x:c r="A405" s="20" t="s">
        <x:v>57</x:v>
      </x:c>
      <x:c r="B405" s="2" t="s">
        <x:v>25</x:v>
      </x:c>
      <x:c r="C405" s="9" t="s">
        <x:v>176</x:v>
      </x:c>
      <x:c r="D405" s="9">
        <x:v>3</x:v>
      </x:c>
      <x:c r="E405" s="9">
        <x:v>3</x:v>
      </x:c>
      <x:c r="F405" s="9">
        <x:v>14</x:v>
      </x:c>
      <x:c r="G405" s="16" t="s">
        <x:v>39</x:v>
      </x:c>
    </x:row>
    <x:row r="406" spans="1:7" ht="16.75">
      <x:c r="A406" s="21" t="s">
        <x:v>105</x:v>
      </x:c>
      <x:c r="B406" s="12" t="s">
        <x:v>72</x:v>
      </x:c>
      <x:c r="C406" s="13" t="s">
        <x:v>157</x:v>
      </x:c>
      <x:c r="D406" s="13">
        <x:v>1</x:v>
      </x:c>
      <x:c r="E406" s="13">
        <x:v>4</x:v>
      </x:c>
      <x:c r="F406" s="13">
        <x:v>16</x:v>
      </x:c>
      <x:c r="G406" s="17" t="s">
        <x:v>39</x:v>
      </x:c>
    </x:row>
    <x:row r="407" spans="1:7" ht="16.75">
      <x:c r="A407" s="22" t="s">
        <x:v>76</x:v>
      </x:c>
      <x:c r="B407" s="14" t="s">
        <x:v>33</x:v>
      </x:c>
      <x:c r="C407" s="23" t="s">
        <x:v>97</x:v>
      </x:c>
      <x:c r="D407" s="23">
        <x:v>5</x:v>
      </x:c>
      <x:c r="E407" s="23">
        <x:v>9</x:v>
      </x:c>
      <x:c r="F407" s="23">
        <x:v>4</x:v>
      </x:c>
      <x:c r="G407" s="18" t="s">
        <x:v>54</x:v>
      </x:c>
    </x:row>
    <x:row r="408" spans="1:7">
      <x:c r="A408" s="20" t="s">
        <x:v>28</x:v>
      </x:c>
      <x:c r="B408" s="2" t="s">
        <x:v>56</x:v>
      </x:c>
      <x:c r="C408" s="9" t="s">
        <x:v>68</x:v>
      </x:c>
      <x:c r="D408" s="9">
        <x:v>7</x:v>
      </x:c>
      <x:c r="E408" s="9">
        <x:v>8</x:v>
      </x:c>
      <x:c r="F408" s="9">
        <x:v>4</x:v>
      </x:c>
      <x:c r="G408" s="16" t="s">
        <x:v>54</x:v>
      </x:c>
    </x:row>
    <x:row r="409" spans="1:7">
      <x:c r="A409" s="20" t="s">
        <x:v>60</x:v>
      </x:c>
      <x:c r="B409" s="2" t="s">
        <x:v>34</x:v>
      </x:c>
      <x:c r="C409" s="9" t="s">
        <x:v>40</x:v>
      </x:c>
      <x:c r="D409" s="9">
        <x:v>1</x:v>
      </x:c>
      <x:c r="E409" s="9">
        <x:v>11</x:v>
      </x:c>
      <x:c r="F409" s="9">
        <x:v>3</x:v>
      </x:c>
      <x:c r="G409" s="16" t="s">
        <x:v>54</x:v>
      </x:c>
    </x:row>
    <x:row r="410" spans="1:7">
      <x:c r="A410" s="20" t="s">
        <x:v>50</x:v>
      </x:c>
      <x:c r="B410" s="2" t="s">
        <x:v>25</x:v>
      </x:c>
      <x:c r="C410" s="9" t="s">
        <x:v>111</x:v>
      </x:c>
      <x:c r="D410" s="9">
        <x:v>7</x:v>
      </x:c>
      <x:c r="E410" s="9">
        <x:v>3</x:v>
      </x:c>
      <x:c r="F410" s="9">
        <x:v>6</x:v>
      </x:c>
      <x:c r="G410" s="16" t="s">
        <x:v>54</x:v>
      </x:c>
    </x:row>
    <x:row r="411" spans="1:7" ht="16.75">
      <x:c r="A411" s="56" t="s">
        <x:v>70</x:v>
      </x:c>
      <x:c r="B411" s="12" t="s">
        <x:v>72</x:v>
      </x:c>
      <x:c r="C411" s="13" t="s">
        <x:v>160</x:v>
      </x:c>
      <x:c r="D411" s="13">
        <x:v>0</x:v>
      </x:c>
      <x:c r="E411" s="13">
        <x:v>5</x:v>
      </x:c>
      <x:c r="F411" s="13">
        <x:v>7</x:v>
      </x:c>
      <x:c r="G411" s="17" t="s">
        <x:v>54</x:v>
      </x:c>
    </x:row>
    <x:row r="413" spans="1:7">
      <x:c r="A413" s="1" t="s">
        <x:v>35</x:v>
      </x:c>
      <x:c r="B413" s="1" t="s">
        <x:v>30</x:v>
      </x:c>
      <x:c r="C413" s="1" t="s">
        <x:v>0</x:v>
      </x:c>
      <x:c r="D413" s="24" t="s">
        <x:v>19</x:v>
      </x:c>
      <x:c r="E413" s="24" t="s">
        <x:v>26</x:v>
      </x:c>
      <x:c r="F413" s="24" t="s">
        <x:v>32</x:v>
      </x:c>
      <x:c r="G413" s="1" t="s">
        <x:v>36</x:v>
      </x:c>
    </x:row>
    <x:row r="414" spans="1:7" ht="16.75">
      <x:c r="A414" s="22" t="s">
        <x:v>76</x:v>
      </x:c>
      <x:c r="B414" s="14" t="s">
        <x:v>33</x:v>
      </x:c>
      <x:c r="C414" s="23" t="s">
        <x:v>65</x:v>
      </x:c>
      <x:c r="D414" s="23">
        <x:v>7</x:v>
      </x:c>
      <x:c r="E414" s="23">
        <x:v>5</x:v>
      </x:c>
      <x:c r="F414" s="23">
        <x:v>7</x:v>
      </x:c>
      <x:c r="G414" s="15" t="s">
        <x:v>39</x:v>
      </x:c>
    </x:row>
    <x:row r="415" spans="1:7">
      <x:c r="A415" s="20" t="s">
        <x:v>28</x:v>
      </x:c>
      <x:c r="B415" s="2" t="s">
        <x:v>56</x:v>
      </x:c>
      <x:c r="C415" s="9" t="s">
        <x:v>154</x:v>
      </x:c>
      <x:c r="D415" s="9">
        <x:v>13</x:v>
      </x:c>
      <x:c r="E415" s="9">
        <x:v>4</x:v>
      </x:c>
      <x:c r="F415" s="9">
        <x:v>8</x:v>
      </x:c>
      <x:c r="G415" s="16" t="s">
        <x:v>39</x:v>
      </x:c>
    </x:row>
    <x:row r="416" spans="1:7">
      <x:c r="A416" s="20" t="s">
        <x:v>60</x:v>
      </x:c>
      <x:c r="B416" s="2" t="s">
        <x:v>34</x:v>
      </x:c>
      <x:c r="C416" s="9" t="s">
        <x:v>83</x:v>
      </x:c>
      <x:c r="D416" s="9">
        <x:v>3</x:v>
      </x:c>
      <x:c r="E416" s="9">
        <x:v>7</x:v>
      </x:c>
      <x:c r="F416" s="9">
        <x:v>10</x:v>
      </x:c>
      <x:c r="G416" s="16" t="s">
        <x:v>39</x:v>
      </x:c>
    </x:row>
    <x:row r="417" spans="1:7">
      <x:c r="A417" s="20" t="s">
        <x:v>50</x:v>
      </x:c>
      <x:c r="B417" s="2" t="s">
        <x:v>25</x:v>
      </x:c>
      <x:c r="C417" s="9" t="s">
        <x:v>96</x:v>
      </x:c>
      <x:c r="D417" s="9">
        <x:v>9</x:v>
      </x:c>
      <x:c r="E417" s="9">
        <x:v>5</x:v>
      </x:c>
      <x:c r="F417" s="9">
        <x:v>10</x:v>
      </x:c>
      <x:c r="G417" s="16" t="s">
        <x:v>39</x:v>
      </x:c>
    </x:row>
    <x:row r="418" spans="1:7" ht="16.75">
      <x:c r="A418" s="56" t="s">
        <x:v>70</x:v>
      </x:c>
      <x:c r="B418" s="12" t="s">
        <x:v>72</x:v>
      </x:c>
      <x:c r="C418" s="13" t="s">
        <x:v>110</x:v>
      </x:c>
      <x:c r="D418" s="13">
        <x:v>2</x:v>
      </x:c>
      <x:c r="E418" s="13">
        <x:v>3</x:v>
      </x:c>
      <x:c r="F418" s="13">
        <x:v>21</x:v>
      </x:c>
      <x:c r="G418" s="17" t="s">
        <x:v>39</x:v>
      </x:c>
    </x:row>
    <x:row r="419" spans="1:7" ht="16.75">
      <x:c r="A419" s="59" t="s">
        <x:v>151</x:v>
      </x:c>
      <x:c r="B419" s="10" t="s">
        <x:v>33</x:v>
      </x:c>
      <x:c r="C419" s="11" t="s">
        <x:v>177</x:v>
      </x:c>
      <x:c r="D419" s="11">
        <x:v>2</x:v>
      </x:c>
      <x:c r="E419" s="11">
        <x:v>10</x:v>
      </x:c>
      <x:c r="F419" s="11">
        <x:v>8</x:v>
      </x:c>
      <x:c r="G419" s="18" t="s">
        <x:v>54</x:v>
      </x:c>
    </x:row>
    <x:row r="420" spans="1:7">
      <x:c r="A420" s="54" t="s">
        <x:v>124</x:v>
      </x:c>
      <x:c r="B420" s="2" t="s">
        <x:v>56</x:v>
      </x:c>
      <x:c r="C420" s="9" t="s">
        <x:v>138</x:v>
      </x:c>
      <x:c r="D420" s="9">
        <x:v>11</x:v>
      </x:c>
      <x:c r="E420" s="9">
        <x:v>3</x:v>
      </x:c>
      <x:c r="F420" s="9">
        <x:v>2</x:v>
      </x:c>
      <x:c r="G420" s="16" t="s">
        <x:v>54</x:v>
      </x:c>
    </x:row>
    <x:row r="421" spans="1:7">
      <x:c r="A421" s="54" t="s">
        <x:v>150</x:v>
      </x:c>
      <x:c r="B421" s="2" t="s">
        <x:v>34</x:v>
      </x:c>
      <x:c r="C421" s="9" t="s">
        <x:v>109</x:v>
      </x:c>
      <x:c r="D421" s="9">
        <x:v>6</x:v>
      </x:c>
      <x:c r="E421" s="9">
        <x:v>5</x:v>
      </x:c>
      <x:c r="F421" s="9">
        <x:v>2</x:v>
      </x:c>
      <x:c r="G421" s="16" t="s">
        <x:v>54</x:v>
      </x:c>
    </x:row>
    <x:row r="422" spans="1:7">
      <x:c r="A422" s="20" t="s">
        <x:v>57</x:v>
      </x:c>
      <x:c r="B422" s="2" t="s">
        <x:v>25</x:v>
      </x:c>
      <x:c r="C422" s="9" t="s">
        <x:v>102</x:v>
      </x:c>
      <x:c r="D422" s="9">
        <x:v>4</x:v>
      </x:c>
      <x:c r="E422" s="9">
        <x:v>7</x:v>
      </x:c>
      <x:c r="F422" s="9">
        <x:v>1</x:v>
      </x:c>
      <x:c r="G422" s="16" t="s">
        <x:v>54</x:v>
      </x:c>
    </x:row>
    <x:row r="423" spans="1:7" ht="16.75">
      <x:c r="A423" s="21" t="s">
        <x:v>105</x:v>
      </x:c>
      <x:c r="B423" s="12" t="s">
        <x:v>72</x:v>
      </x:c>
      <x:c r="C423" s="13" t="s">
        <x:v>136</x:v>
      </x:c>
      <x:c r="D423" s="13">
        <x:v>1</x:v>
      </x:c>
      <x:c r="E423" s="13">
        <x:v>9</x:v>
      </x:c>
      <x:c r="F423" s="13">
        <x:v>12</x:v>
      </x:c>
      <x:c r="G423" s="17" t="s">
        <x:v>54</x:v>
      </x:c>
    </x:row>
    <x:row r="425" spans="1:7">
      <x:c r="A425" s="1" t="s">
        <x:v>35</x:v>
      </x:c>
      <x:c r="B425" s="1" t="s">
        <x:v>30</x:v>
      </x:c>
      <x:c r="C425" s="1" t="s">
        <x:v>0</x:v>
      </x:c>
      <x:c r="D425" s="24" t="s">
        <x:v>19</x:v>
      </x:c>
      <x:c r="E425" s="24" t="s">
        <x:v>26</x:v>
      </x:c>
      <x:c r="F425" s="24" t="s">
        <x:v>32</x:v>
      </x:c>
      <x:c r="G425" s="1" t="s">
        <x:v>36</x:v>
      </x:c>
    </x:row>
    <x:row r="426" spans="1:7" ht="16.75">
      <x:c r="A426" s="22" t="s">
        <x:v>22</x:v>
      </x:c>
      <x:c r="B426" s="14" t="s">
        <x:v>33</x:v>
      </x:c>
      <x:c r="C426" s="23" t="s">
        <x:v>65</x:v>
      </x:c>
      <x:c r="D426" s="23">
        <x:v>5</x:v>
      </x:c>
      <x:c r="E426" s="23">
        <x:v>3</x:v>
      </x:c>
      <x:c r="F426" s="23">
        <x:v>7</x:v>
      </x:c>
      <x:c r="G426" s="15" t="s">
        <x:v>39</x:v>
      </x:c>
    </x:row>
    <x:row r="427" spans="1:7">
      <x:c r="A427" s="20" t="s">
        <x:v>60</x:v>
      </x:c>
      <x:c r="B427" s="2" t="s">
        <x:v>56</x:v>
      </x:c>
      <x:c r="C427" s="9" t="s">
        <x:v>88</x:v>
      </x:c>
      <x:c r="D427" s="9">
        <x:v>7</x:v>
      </x:c>
      <x:c r="E427" s="9">
        <x:v>2</x:v>
      </x:c>
      <x:c r="F427" s="9">
        <x:v>12</x:v>
      </x:c>
      <x:c r="G427" s="16" t="s">
        <x:v>39</x:v>
      </x:c>
    </x:row>
    <x:row r="428" spans="1:7">
      <x:c r="A428" s="20" t="s">
        <x:v>37</x:v>
      </x:c>
      <x:c r="B428" s="2" t="s">
        <x:v>34</x:v>
      </x:c>
      <x:c r="C428" s="9" t="s">
        <x:v>66</x:v>
      </x:c>
      <x:c r="D428" s="9">
        <x:v>8</x:v>
      </x:c>
      <x:c r="E428" s="9">
        <x:v>4</x:v>
      </x:c>
      <x:c r="F428" s="9">
        <x:v>5</x:v>
      </x:c>
      <x:c r="G428" s="16" t="s">
        <x:v>39</x:v>
      </x:c>
    </x:row>
    <x:row r="429" spans="1:7">
      <x:c r="A429" s="20" t="s">
        <x:v>70</x:v>
      </x:c>
      <x:c r="B429" s="2" t="s">
        <x:v>25</x:v>
      </x:c>
      <x:c r="C429" s="9" t="s">
        <x:v>159</x:v>
      </x:c>
      <x:c r="D429" s="9">
        <x:v>11</x:v>
      </x:c>
      <x:c r="E429" s="9">
        <x:v>1</x:v>
      </x:c>
      <x:c r="F429" s="9">
        <x:v>6</x:v>
      </x:c>
      <x:c r="G429" s="16" t="s">
        <x:v>39</x:v>
      </x:c>
    </x:row>
    <x:row r="430" spans="1:7" ht="16.75">
      <x:c r="A430" s="56" t="s">
        <x:v>130</x:v>
      </x:c>
      <x:c r="B430" s="12" t="s">
        <x:v>72</x:v>
      </x:c>
      <x:c r="C430" s="13" t="s">
        <x:v>135</x:v>
      </x:c>
      <x:c r="D430" s="13">
        <x:v>2</x:v>
      </x:c>
      <x:c r="E430" s="13">
        <x:v>3</x:v>
      </x:c>
      <x:c r="F430" s="13">
        <x:v>15</x:v>
      </x:c>
      <x:c r="G430" s="17" t="s">
        <x:v>39</x:v>
      </x:c>
    </x:row>
    <x:row r="431" spans="1:7" ht="16.75">
      <x:c r="A431" s="60" t="s">
        <x:v>61</x:v>
      </x:c>
      <x:c r="B431" s="10" t="s">
        <x:v>33</x:v>
      </x:c>
      <x:c r="C431" s="11" t="s">
        <x:v>170</x:v>
      </x:c>
      <x:c r="D431" s="11">
        <x:v>1</x:v>
      </x:c>
      <x:c r="E431" s="11">
        <x:v>6</x:v>
      </x:c>
      <x:c r="F431" s="11">
        <x:v>1</x:v>
      </x:c>
      <x:c r="G431" s="18" t="s">
        <x:v>54</x:v>
      </x:c>
    </x:row>
    <x:row r="432" spans="1:7">
      <x:c r="A432" s="57" t="s">
        <x:v>21</x:v>
      </x:c>
      <x:c r="B432" s="2" t="s">
        <x:v>56</x:v>
      </x:c>
      <x:c r="C432" s="9" t="s">
        <x:v>103</x:v>
      </x:c>
      <x:c r="D432" s="9">
        <x:v>0</x:v>
      </x:c>
      <x:c r="E432" s="9">
        <x:v>7</x:v>
      </x:c>
      <x:c r="F432" s="9">
        <x:v>6</x:v>
      </x:c>
      <x:c r="G432" s="16" t="s">
        <x:v>54</x:v>
      </x:c>
    </x:row>
    <x:row r="433" spans="1:7">
      <x:c r="A433" s="57" t="s">
        <x:v>73</x:v>
      </x:c>
      <x:c r="B433" s="2" t="s">
        <x:v>34</x:v>
      </x:c>
      <x:c r="C433" s="9" t="s">
        <x:v>188</x:v>
      </x:c>
      <x:c r="D433" s="9">
        <x:v>4</x:v>
      </x:c>
      <x:c r="E433" s="9">
        <x:v>7</x:v>
      </x:c>
      <x:c r="F433" s="9">
        <x:v>2</x:v>
      </x:c>
      <x:c r="G433" s="16" t="s">
        <x:v>54</x:v>
      </x:c>
    </x:row>
    <x:row r="434" spans="1:7">
      <x:c r="A434" s="20" t="s">
        <x:v>49</x:v>
      </x:c>
      <x:c r="B434" s="2" t="s">
        <x:v>25</x:v>
      </x:c>
      <x:c r="C434" s="9" t="s">
        <x:v>133</x:v>
      </x:c>
      <x:c r="D434" s="9">
        <x:v>6</x:v>
      </x:c>
      <x:c r="E434" s="9">
        <x:v>7</x:v>
      </x:c>
      <x:c r="F434" s="9">
        <x:v>1</x:v>
      </x:c>
      <x:c r="G434" s="16" t="s">
        <x:v>54</x:v>
      </x:c>
    </x:row>
    <x:row r="435" spans="1:7" ht="16.75">
      <x:c r="A435" s="21" t="s">
        <x:v>24</x:v>
      </x:c>
      <x:c r="B435" s="12" t="s">
        <x:v>72</x:v>
      </x:c>
      <x:c r="C435" s="13" t="s">
        <x:v>145</x:v>
      </x:c>
      <x:c r="D435" s="13">
        <x:v>1</x:v>
      </x:c>
      <x:c r="E435" s="13">
        <x:v>6</x:v>
      </x:c>
      <x:c r="F435" s="13">
        <x:v>6</x:v>
      </x:c>
      <x:c r="G435" s="17" t="s">
        <x:v>54</x:v>
      </x:c>
    </x:row>
    <x:row r="437" spans="1:7">
      <x:c r="A437" s="1" t="s">
        <x:v>35</x:v>
      </x:c>
      <x:c r="B437" s="1" t="s">
        <x:v>30</x:v>
      </x:c>
      <x:c r="C437" s="1" t="s">
        <x:v>0</x:v>
      </x:c>
      <x:c r="D437" s="24" t="s">
        <x:v>19</x:v>
      </x:c>
      <x:c r="E437" s="24" t="s">
        <x:v>26</x:v>
      </x:c>
      <x:c r="F437" s="24" t="s">
        <x:v>32</x:v>
      </x:c>
      <x:c r="G437" s="1" t="s">
        <x:v>36</x:v>
      </x:c>
    </x:row>
    <x:row r="438" spans="1:7" ht="16.75">
      <x:c r="A438" s="22" t="s">
        <x:v>62</x:v>
      </x:c>
      <x:c r="B438" s="14" t="s">
        <x:v>33</x:v>
      </x:c>
      <x:c r="C438" s="23" t="s">
        <x:v>165</x:v>
      </x:c>
      <x:c r="D438" s="23">
        <x:v>12</x:v>
      </x:c>
      <x:c r="E438" s="23">
        <x:v>4</x:v>
      </x:c>
      <x:c r="F438" s="23">
        <x:v>5</x:v>
      </x:c>
      <x:c r="G438" s="15" t="s">
        <x:v>39</x:v>
      </x:c>
    </x:row>
    <x:row r="439" spans="1:7">
      <x:c r="A439" s="20" t="s">
        <x:v>155</x:v>
      </x:c>
      <x:c r="B439" s="2" t="s">
        <x:v>56</x:v>
      </x:c>
      <x:c r="C439" s="9" t="s">
        <x:v>27</x:v>
      </x:c>
      <x:c r="D439" s="9">
        <x:v>7</x:v>
      </x:c>
      <x:c r="E439" s="9">
        <x:v>4</x:v>
      </x:c>
      <x:c r="F439" s="9">
        <x:v>15</x:v>
      </x:c>
      <x:c r="G439" s="16" t="s">
        <x:v>39</x:v>
      </x:c>
    </x:row>
    <x:row r="440" spans="1:7">
      <x:c r="A440" s="20" t="s">
        <x:v>123</x:v>
      </x:c>
      <x:c r="B440" s="2" t="s">
        <x:v>34</x:v>
      </x:c>
      <x:c r="C440" s="9" t="s">
        <x:v>117</x:v>
      </x:c>
      <x:c r="D440" s="9">
        <x:v>8</x:v>
      </x:c>
      <x:c r="E440" s="9">
        <x:v>7</x:v>
      </x:c>
      <x:c r="F440" s="9">
        <x:v>8</x:v>
      </x:c>
      <x:c r="G440" s="16" t="s">
        <x:v>39</x:v>
      </x:c>
    </x:row>
    <x:row r="441" spans="1:7">
      <x:c r="A441" s="20" t="s">
        <x:v>57</x:v>
      </x:c>
      <x:c r="B441" s="2" t="s">
        <x:v>25</x:v>
      </x:c>
      <x:c r="C441" s="9" t="s">
        <x:v>159</x:v>
      </x:c>
      <x:c r="D441" s="9">
        <x:v>5</x:v>
      </x:c>
      <x:c r="E441" s="9">
        <x:v>5</x:v>
      </x:c>
      <x:c r="F441" s="9">
        <x:v>10</x:v>
      </x:c>
      <x:c r="G441" s="16" t="s">
        <x:v>39</x:v>
      </x:c>
    </x:row>
    <x:row r="442" spans="1:7" ht="16.75">
      <x:c r="A442" s="53" t="s">
        <x:v>128</x:v>
      </x:c>
      <x:c r="B442" s="12" t="s">
        <x:v>72</x:v>
      </x:c>
      <x:c r="C442" s="13" t="s">
        <x:v>84</x:v>
      </x:c>
      <x:c r="D442" s="13">
        <x:v>8</x:v>
      </x:c>
      <x:c r="E442" s="13">
        <x:v>4</x:v>
      </x:c>
      <x:c r="F442" s="13">
        <x:v>14</x:v>
      </x:c>
      <x:c r="G442" s="17" t="s">
        <x:v>39</x:v>
      </x:c>
    </x:row>
    <x:row r="443" spans="1:7" ht="16.75">
      <x:c r="A443" s="60" t="s">
        <x:v>55</x:v>
      </x:c>
      <x:c r="B443" s="10" t="s">
        <x:v>33</x:v>
      </x:c>
      <x:c r="C443" s="11" t="s">
        <x:v>140</x:v>
      </x:c>
      <x:c r="D443" s="11">
        <x:v>6</x:v>
      </x:c>
      <x:c r="E443" s="11">
        <x:v>11</x:v>
      </x:c>
      <x:c r="F443" s="11">
        <x:v>1</x:v>
      </x:c>
      <x:c r="G443" s="18" t="s">
        <x:v>54</x:v>
      </x:c>
    </x:row>
    <x:row r="444" spans="1:7">
      <x:c r="A444" s="54" t="s">
        <x:v>10</x:v>
      </x:c>
      <x:c r="B444" s="2" t="s">
        <x:v>56</x:v>
      </x:c>
      <x:c r="C444" s="9" t="s">
        <x:v>188</x:v>
      </x:c>
      <x:c r="D444" s="9">
        <x:v>2</x:v>
      </x:c>
      <x:c r="E444" s="9">
        <x:v>7</x:v>
      </x:c>
      <x:c r="F444" s="9">
        <x:v>8</x:v>
      </x:c>
      <x:c r="G444" s="16" t="s">
        <x:v>54</x:v>
      </x:c>
    </x:row>
    <x:row r="445" spans="1:7">
      <x:c r="A445" s="57" t="s">
        <x:v>150</x:v>
      </x:c>
      <x:c r="B445" s="2" t="s">
        <x:v>34</x:v>
      </x:c>
      <x:c r="C445" s="9" t="s">
        <x:v>153</x:v>
      </x:c>
      <x:c r="D445" s="9">
        <x:v>10</x:v>
      </x:c>
      <x:c r="E445" s="9">
        <x:v>8</x:v>
      </x:c>
      <x:c r="F445" s="9">
        <x:v>5</x:v>
      </x:c>
      <x:c r="G445" s="16" t="s">
        <x:v>54</x:v>
      </x:c>
    </x:row>
    <x:row r="446" spans="1:7">
      <x:c r="A446" s="20" t="s">
        <x:v>124</x:v>
      </x:c>
      <x:c r="B446" s="2" t="s">
        <x:v>25</x:v>
      </x:c>
      <x:c r="C446" s="9" t="s">
        <x:v>3</x:v>
      </x:c>
      <x:c r="D446" s="9">
        <x:v>5</x:v>
      </x:c>
      <x:c r="E446" s="9">
        <x:v>8</x:v>
      </x:c>
      <x:c r="F446" s="9">
        <x:v>6</x:v>
      </x:c>
      <x:c r="G446" s="16" t="s">
        <x:v>54</x:v>
      </x:c>
    </x:row>
    <x:row r="447" spans="1:7" ht="16.75">
      <x:c r="A447" s="53" t="s">
        <x:v>14</x:v>
      </x:c>
      <x:c r="B447" s="12" t="s">
        <x:v>72</x:v>
      </x:c>
      <x:c r="C447" s="13" t="s">
        <x:v>115</x:v>
      </x:c>
      <x:c r="D447" s="13">
        <x:v>1</x:v>
      </x:c>
      <x:c r="E447" s="13">
        <x:v>6</x:v>
      </x:c>
      <x:c r="F447" s="13">
        <x:v>14</x:v>
      </x:c>
      <x:c r="G447" s="17" t="s">
        <x:v>54</x:v>
      </x:c>
    </x:row>
    <x:row r="449" spans="1:7">
      <x:c r="A449" s="1" t="s">
        <x:v>35</x:v>
      </x:c>
      <x:c r="B449" s="1" t="s">
        <x:v>30</x:v>
      </x:c>
      <x:c r="C449" s="1" t="s">
        <x:v>0</x:v>
      </x:c>
      <x:c r="D449" s="24" t="s">
        <x:v>19</x:v>
      </x:c>
      <x:c r="E449" s="24" t="s">
        <x:v>26</x:v>
      </x:c>
      <x:c r="F449" s="24" t="s">
        <x:v>32</x:v>
      </x:c>
      <x:c r="G449" s="1" t="s">
        <x:v>36</x:v>
      </x:c>
    </x:row>
    <x:row r="450" spans="1:7" ht="16.75">
      <x:c r="A450" s="22" t="s">
        <x:v>22</x:v>
      </x:c>
      <x:c r="B450" s="14" t="s">
        <x:v>33</x:v>
      </x:c>
      <x:c r="C450" s="23" t="s">
        <x:v>79</x:v>
      </x:c>
      <x:c r="D450" s="23">
        <x:v>4</x:v>
      </x:c>
      <x:c r="E450" s="23">
        <x:v>5</x:v>
      </x:c>
      <x:c r="F450" s="23">
        <x:v>11</x:v>
      </x:c>
      <x:c r="G450" s="15" t="s">
        <x:v>39</x:v>
      </x:c>
    </x:row>
    <x:row r="451" spans="1:7">
      <x:c r="A451" s="20" t="s">
        <x:v>60</x:v>
      </x:c>
      <x:c r="B451" s="2" t="s">
        <x:v>56</x:v>
      </x:c>
      <x:c r="C451" s="9" t="s">
        <x:v>97</x:v>
      </x:c>
      <x:c r="D451" s="9">
        <x:v>12</x:v>
      </x:c>
      <x:c r="E451" s="9">
        <x:v>5</x:v>
      </x:c>
      <x:c r="F451" s="9">
        <x:v>10</x:v>
      </x:c>
      <x:c r="G451" s="16" t="s">
        <x:v>39</x:v>
      </x:c>
    </x:row>
    <x:row r="452" spans="1:7">
      <x:c r="A452" s="20" t="s">
        <x:v>37</x:v>
      </x:c>
      <x:c r="B452" s="2" t="s">
        <x:v>34</x:v>
      </x:c>
      <x:c r="C452" s="9" t="s">
        <x:v>9</x:v>
      </x:c>
      <x:c r="D452" s="9">
        <x:v>6</x:v>
      </x:c>
      <x:c r="E452" s="9">
        <x:v>8</x:v>
      </x:c>
      <x:c r="F452" s="9">
        <x:v>13</x:v>
      </x:c>
      <x:c r="G452" s="16" t="s">
        <x:v>39</x:v>
      </x:c>
    </x:row>
    <x:row r="453" spans="1:7">
      <x:c r="A453" s="20" t="s">
        <x:v>70</x:v>
      </x:c>
      <x:c r="B453" s="2" t="s">
        <x:v>25</x:v>
      </x:c>
      <x:c r="C453" s="9" t="s">
        <x:v>111</x:v>
      </x:c>
      <x:c r="D453" s="9">
        <x:v>4</x:v>
      </x:c>
      <x:c r="E453" s="9">
        <x:v>4</x:v>
      </x:c>
      <x:c r="F453" s="9">
        <x:v>8</x:v>
      </x:c>
      <x:c r="G453" s="16" t="s">
        <x:v>39</x:v>
      </x:c>
    </x:row>
    <x:row r="454" spans="1:7" ht="16.75">
      <x:c r="A454" s="56" t="s">
        <x:v>130</x:v>
      </x:c>
      <x:c r="B454" s="12" t="s">
        <x:v>72</x:v>
      </x:c>
      <x:c r="C454" s="13" t="s">
        <x:v>93</x:v>
      </x:c>
      <x:c r="D454" s="13">
        <x:v>3</x:v>
      </x:c>
      <x:c r="E454" s="13">
        <x:v>5</x:v>
      </x:c>
      <x:c r="F454" s="13">
        <x:v>6</x:v>
      </x:c>
      <x:c r="G454" s="17" t="s">
        <x:v>39</x:v>
      </x:c>
    </x:row>
    <x:row r="455" spans="1:7" ht="16.75">
      <x:c r="A455" s="60" t="s">
        <x:v>61</x:v>
      </x:c>
      <x:c r="B455" s="10" t="s">
        <x:v>33</x:v>
      </x:c>
      <x:c r="C455" s="11" t="s">
        <x:v>179</x:v>
      </x:c>
      <x:c r="D455" s="11">
        <x:v>0</x:v>
      </x:c>
      <x:c r="E455" s="11">
        <x:v>3</x:v>
      </x:c>
      <x:c r="F455" s="11">
        <x:v>8</x:v>
      </x:c>
      <x:c r="G455" s="18" t="s">
        <x:v>54</x:v>
      </x:c>
    </x:row>
    <x:row r="456" spans="1:7">
      <x:c r="A456" s="57" t="s">
        <x:v>21</x:v>
      </x:c>
      <x:c r="B456" s="2" t="s">
        <x:v>56</x:v>
      </x:c>
      <x:c r="C456" s="9" t="s">
        <x:v>116</x:v>
      </x:c>
      <x:c r="D456" s="9">
        <x:v>3</x:v>
      </x:c>
      <x:c r="E456" s="9">
        <x:v>9</x:v>
      </x:c>
      <x:c r="F456" s="9">
        <x:v>8</x:v>
      </x:c>
      <x:c r="G456" s="16" t="s">
        <x:v>54</x:v>
      </x:c>
    </x:row>
    <x:row r="457" spans="1:7">
      <x:c r="A457" s="57" t="s">
        <x:v>73</x:v>
      </x:c>
      <x:c r="B457" s="2" t="s">
        <x:v>34</x:v>
      </x:c>
      <x:c r="C457" s="9" t="s">
        <x:v>83</x:v>
      </x:c>
      <x:c r="D457" s="9">
        <x:v>14</x:v>
      </x:c>
      <x:c r="E457" s="9">
        <x:v>9</x:v>
      </x:c>
      <x:c r="F457" s="9">
        <x:v>2</x:v>
      </x:c>
      <x:c r="G457" s="16" t="s">
        <x:v>54</x:v>
      </x:c>
    </x:row>
    <x:row r="458" spans="1:7">
      <x:c r="A458" s="20" t="s">
        <x:v>49</x:v>
      </x:c>
      <x:c r="B458" s="2" t="s">
        <x:v>25</x:v>
      </x:c>
      <x:c r="C458" s="9" t="s">
        <x:v>104</x:v>
      </x:c>
      <x:c r="D458" s="9">
        <x:v>10</x:v>
      </x:c>
      <x:c r="E458" s="9">
        <x:v>5</x:v>
      </x:c>
      <x:c r="F458" s="9">
        <x:v>3</x:v>
      </x:c>
      <x:c r="G458" s="16" t="s">
        <x:v>54</x:v>
      </x:c>
    </x:row>
    <x:row r="459" spans="1:7" ht="16.75">
      <x:c r="A459" s="21" t="s">
        <x:v>24</x:v>
      </x:c>
      <x:c r="B459" s="12" t="s">
        <x:v>72</x:v>
      </x:c>
      <x:c r="C459" s="13" t="s">
        <x:v>51</x:v>
      </x:c>
      <x:c r="D459" s="13">
        <x:v>0</x:v>
      </x:c>
      <x:c r="E459" s="13">
        <x:v>3</x:v>
      </x:c>
      <x:c r="F459" s="13">
        <x:v>19</x:v>
      </x:c>
      <x:c r="G459" s="17" t="s">
        <x:v>54</x:v>
      </x:c>
    </x:row>
    <x:row r="461" spans="1:7">
      <x:c r="A461" s="1" t="s">
        <x:v>35</x:v>
      </x:c>
      <x:c r="B461" s="1" t="s">
        <x:v>30</x:v>
      </x:c>
      <x:c r="C461" s="1" t="s">
        <x:v>0</x:v>
      </x:c>
      <x:c r="D461" s="24" t="s">
        <x:v>19</x:v>
      </x:c>
      <x:c r="E461" s="24" t="s">
        <x:v>26</x:v>
      </x:c>
      <x:c r="F461" s="24" t="s">
        <x:v>32</x:v>
      </x:c>
      <x:c r="G461" s="1" t="s">
        <x:v>36</x:v>
      </x:c>
    </x:row>
    <x:row r="462" spans="1:7" ht="16.75">
      <x:c r="A462" s="60" t="s">
        <x:v>55</x:v>
      </x:c>
      <x:c r="B462" s="14" t="s">
        <x:v>33</x:v>
      </x:c>
      <x:c r="C462" s="23" t="s">
        <x:v>119</x:v>
      </x:c>
      <x:c r="D462" s="23">
        <x:v>5</x:v>
      </x:c>
      <x:c r="E462" s="23">
        <x:v>3</x:v>
      </x:c>
      <x:c r="F462" s="23">
        <x:v>5</x:v>
      </x:c>
      <x:c r="G462" s="15" t="s">
        <x:v>39</x:v>
      </x:c>
    </x:row>
    <x:row r="463" spans="1:7">
      <x:c r="A463" s="54" t="s">
        <x:v>10</x:v>
      </x:c>
      <x:c r="B463" s="2" t="s">
        <x:v>56</x:v>
      </x:c>
      <x:c r="C463" s="9" t="s">
        <x:v>41</x:v>
      </x:c>
      <x:c r="D463" s="9">
        <x:v>3</x:v>
      </x:c>
      <x:c r="E463" s="9">
        <x:v>8</x:v>
      </x:c>
      <x:c r="F463" s="9">
        <x:v>14</x:v>
      </x:c>
      <x:c r="G463" s="16" t="s">
        <x:v>39</x:v>
      </x:c>
    </x:row>
    <x:row r="464" spans="1:7">
      <x:c r="A464" s="57" t="s">
        <x:v>150</x:v>
      </x:c>
      <x:c r="B464" s="2" t="s">
        <x:v>34</x:v>
      </x:c>
      <x:c r="C464" s="9" t="s">
        <x:v>180</x:v>
      </x:c>
      <x:c r="D464" s="9">
        <x:v>12</x:v>
      </x:c>
      <x:c r="E464" s="9">
        <x:v>5</x:v>
      </x:c>
      <x:c r="F464" s="9">
        <x:v>14</x:v>
      </x:c>
      <x:c r="G464" s="16" t="s">
        <x:v>39</x:v>
      </x:c>
    </x:row>
    <x:row r="465" spans="1:7">
      <x:c r="A465" s="20" t="s">
        <x:v>124</x:v>
      </x:c>
      <x:c r="B465" s="2" t="s">
        <x:v>25</x:v>
      </x:c>
      <x:c r="C465" s="9" t="s">
        <x:v>168</x:v>
      </x:c>
      <x:c r="D465" s="9">
        <x:v>14</x:v>
      </x:c>
      <x:c r="E465" s="9">
        <x:v>11</x:v>
      </x:c>
      <x:c r="F465" s="9">
        <x:v>9</x:v>
      </x:c>
      <x:c r="G465" s="16" t="s">
        <x:v>39</x:v>
      </x:c>
    </x:row>
    <x:row r="466" spans="1:7" ht="16.75">
      <x:c r="A466" s="53" t="s">
        <x:v>14</x:v>
      </x:c>
      <x:c r="B466" s="12" t="s">
        <x:v>72</x:v>
      </x:c>
      <x:c r="C466" s="13" t="s">
        <x:v>86</x:v>
      </x:c>
      <x:c r="D466" s="13">
        <x:v>7</x:v>
      </x:c>
      <x:c r="E466" s="13">
        <x:v>10</x:v>
      </x:c>
      <x:c r="F466" s="13">
        <x:v>13</x:v>
      </x:c>
      <x:c r="G466" s="17" t="s">
        <x:v>39</x:v>
      </x:c>
    </x:row>
    <x:row r="467" spans="1:7">
      <x:c r="A467" s="22" t="s">
        <x:v>62</x:v>
      </x:c>
      <x:c r="B467" s="10" t="s">
        <x:v>33</x:v>
      </x:c>
      <x:c r="C467" s="11" t="s">
        <x:v>52</x:v>
      </x:c>
      <x:c r="D467" s="11">
        <x:v>8</x:v>
      </x:c>
      <x:c r="E467" s="11">
        <x:v>5</x:v>
      </x:c>
      <x:c r="F467" s="11">
        <x:v>9</x:v>
      </x:c>
      <x:c r="G467" s="18" t="s">
        <x:v>54</x:v>
      </x:c>
    </x:row>
    <x:row r="468" spans="1:7">
      <x:c r="A468" s="20" t="s">
        <x:v>155</x:v>
      </x:c>
      <x:c r="B468" s="2" t="s">
        <x:v>56</x:v>
      </x:c>
      <x:c r="C468" s="9" t="s">
        <x:v>6</x:v>
      </x:c>
      <x:c r="D468" s="9">
        <x:v>16</x:v>
      </x:c>
      <x:c r="E468" s="9">
        <x:v>6</x:v>
      </x:c>
      <x:c r="F468" s="9">
        <x:v>11</x:v>
      </x:c>
      <x:c r="G468" s="16" t="s">
        <x:v>54</x:v>
      </x:c>
    </x:row>
    <x:row r="469" spans="1:7">
      <x:c r="A469" s="20" t="s">
        <x:v>123</x:v>
      </x:c>
      <x:c r="B469" s="2" t="s">
        <x:v>34</x:v>
      </x:c>
      <x:c r="C469" s="9" t="s">
        <x:v>40</x:v>
      </x:c>
      <x:c r="D469" s="9">
        <x:v>6</x:v>
      </x:c>
      <x:c r="E469" s="9">
        <x:v>9</x:v>
      </x:c>
      <x:c r="F469" s="9">
        <x:v>9</x:v>
      </x:c>
      <x:c r="G469" s="16" t="s">
        <x:v>54</x:v>
      </x:c>
    </x:row>
    <x:row r="470" spans="1:7">
      <x:c r="A470" s="20" t="s">
        <x:v>57</x:v>
      </x:c>
      <x:c r="B470" s="2" t="s">
        <x:v>25</x:v>
      </x:c>
      <x:c r="C470" s="9" t="s">
        <x:v>156</x:v>
      </x:c>
      <x:c r="D470" s="9">
        <x:v>5</x:v>
      </x:c>
      <x:c r="E470" s="9">
        <x:v>12</x:v>
      </x:c>
      <x:c r="F470" s="9">
        <x:v>9</x:v>
      </x:c>
      <x:c r="G470" s="16" t="s">
        <x:v>54</x:v>
      </x:c>
    </x:row>
    <x:row r="471" spans="1:7" ht="16.75">
      <x:c r="A471" s="53" t="s">
        <x:v>128</x:v>
      </x:c>
      <x:c r="B471" s="12" t="s">
        <x:v>72</x:v>
      </x:c>
      <x:c r="C471" s="13" t="s">
        <x:v>160</x:v>
      </x:c>
      <x:c r="D471" s="13">
        <x:v>2</x:v>
      </x:c>
      <x:c r="E471" s="13">
        <x:v>9</x:v>
      </x:c>
      <x:c r="F471" s="13">
        <x:v>22</x:v>
      </x:c>
      <x:c r="G471" s="17" t="s">
        <x:v>54</x:v>
      </x:c>
    </x:row>
    <x:row r="473" spans="1:7">
      <x:c r="A473" s="1" t="s">
        <x:v>35</x:v>
      </x:c>
      <x:c r="B473" s="1" t="s">
        <x:v>30</x:v>
      </x:c>
      <x:c r="C473" s="1" t="s">
        <x:v>0</x:v>
      </x:c>
      <x:c r="D473" s="24" t="s">
        <x:v>19</x:v>
      </x:c>
      <x:c r="E473" s="24" t="s">
        <x:v>26</x:v>
      </x:c>
      <x:c r="F473" s="24" t="s">
        <x:v>32</x:v>
      </x:c>
      <x:c r="G473" s="1" t="s">
        <x:v>36</x:v>
      </x:c>
    </x:row>
    <x:row r="474" spans="1:7" ht="16.75">
      <x:c r="A474" s="60" t="s">
        <x:v>21</x:v>
      </x:c>
      <x:c r="B474" s="10" t="s">
        <x:v>33</x:v>
      </x:c>
      <x:c r="C474" s="11" t="s">
        <x:v>140</x:v>
      </x:c>
      <x:c r="D474" s="11">
        <x:v>11</x:v>
      </x:c>
      <x:c r="E474" s="11">
        <x:v>9</x:v>
      </x:c>
      <x:c r="F474" s="11">
        <x:v>10</x:v>
      </x:c>
      <x:c r="G474" s="15" t="s">
        <x:v>39</x:v>
      </x:c>
    </x:row>
    <x:row r="475" spans="1:7">
      <x:c r="A475" s="57" t="s">
        <x:v>60</x:v>
      </x:c>
      <x:c r="B475" s="2" t="s">
        <x:v>56</x:v>
      </x:c>
      <x:c r="C475" s="9" t="s">
        <x:v>88</x:v>
      </x:c>
      <x:c r="D475" s="9">
        <x:v>19</x:v>
      </x:c>
      <x:c r="E475" s="9">
        <x:v>8</x:v>
      </x:c>
      <x:c r="F475" s="9">
        <x:v>15</x:v>
      </x:c>
      <x:c r="G475" s="16" t="s">
        <x:v>39</x:v>
      </x:c>
    </x:row>
    <x:row r="476" spans="1:7">
      <x:c r="A476" s="57" t="s">
        <x:v>73</x:v>
      </x:c>
      <x:c r="B476" s="2" t="s">
        <x:v>34</x:v>
      </x:c>
      <x:c r="C476" s="9" t="s">
        <x:v>188</x:v>
      </x:c>
      <x:c r="D476" s="9">
        <x:v>12</x:v>
      </x:c>
      <x:c r="E476" s="9">
        <x:v>7</x:v>
      </x:c>
      <x:c r="F476" s="9">
        <x:v>11</x:v>
      </x:c>
      <x:c r="G476" s="16" t="s">
        <x:v>39</x:v>
      </x:c>
    </x:row>
    <x:row r="477" spans="1:7">
      <x:c r="A477" s="20" t="s">
        <x:v>70</x:v>
      </x:c>
      <x:c r="B477" s="2" t="s">
        <x:v>25</x:v>
      </x:c>
      <x:c r="C477" s="9" t="s">
        <x:v>69</x:v>
      </x:c>
      <x:c r="D477" s="9">
        <x:v>9</x:v>
      </x:c>
      <x:c r="E477" s="9">
        <x:v>5</x:v>
      </x:c>
      <x:c r="F477" s="9">
        <x:v>16</x:v>
      </x:c>
      <x:c r="G477" s="16" t="s">
        <x:v>39</x:v>
      </x:c>
    </x:row>
    <x:row r="478" spans="1:7" ht="16.75">
      <x:c r="A478" s="53" t="s">
        <x:v>8</x:v>
      </x:c>
      <x:c r="B478" s="12" t="s">
        <x:v>72</x:v>
      </x:c>
      <x:c r="C478" s="13" t="s">
        <x:v>125</x:v>
      </x:c>
      <x:c r="D478" s="13">
        <x:v>2</x:v>
      </x:c>
      <x:c r="E478" s="13">
        <x:v>4</x:v>
      </x:c>
      <x:c r="F478" s="13">
        <x:v>24</x:v>
      </x:c>
      <x:c r="G478" s="17" t="s">
        <x:v>39</x:v>
      </x:c>
    </x:row>
    <x:row r="479" spans="1:7" ht="16.75">
      <x:c r="A479" s="22" t="s">
        <x:v>22</x:v>
      </x:c>
      <x:c r="B479" s="14" t="s">
        <x:v>33</x:v>
      </x:c>
      <x:c r="C479" s="23" t="s">
        <x:v>170</x:v>
      </x:c>
      <x:c r="D479" s="23">
        <x:v>8</x:v>
      </x:c>
      <x:c r="E479" s="23">
        <x:v>12</x:v>
      </x:c>
      <x:c r="F479" s="23">
        <x:v>10</x:v>
      </x:c>
      <x:c r="G479" s="18" t="s">
        <x:v>54</x:v>
      </x:c>
    </x:row>
    <x:row r="480" spans="1:7">
      <x:c r="A480" s="20" t="s">
        <x:v>59</x:v>
      </x:c>
      <x:c r="B480" s="2" t="s">
        <x:v>56</x:v>
      </x:c>
      <x:c r="C480" s="9" t="s">
        <x:v>107</x:v>
      </x:c>
      <x:c r="D480" s="9">
        <x:v>12</x:v>
      </x:c>
      <x:c r="E480" s="9">
        <x:v>11</x:v>
      </x:c>
      <x:c r="F480" s="9">
        <x:v>12</x:v>
      </x:c>
      <x:c r="G480" s="16" t="s">
        <x:v>54</x:v>
      </x:c>
    </x:row>
    <x:row r="481" spans="1:7">
      <x:c r="A481" s="20" t="s">
        <x:v>37</x:v>
      </x:c>
      <x:c r="B481" s="2" t="s">
        <x:v>34</x:v>
      </x:c>
      <x:c r="C481" s="9" t="s">
        <x:v>110</x:v>
      </x:c>
      <x:c r="D481" s="9">
        <x:v>5</x:v>
      </x:c>
      <x:c r="E481" s="9">
        <x:v>11</x:v>
      </x:c>
      <x:c r="F481" s="9">
        <x:v>23</x:v>
      </x:c>
      <x:c r="G481" s="16" t="s">
        <x:v>54</x:v>
      </x:c>
    </x:row>
    <x:row r="482" spans="1:7">
      <x:c r="A482" s="20" t="s">
        <x:v>57</x:v>
      </x:c>
      <x:c r="B482" s="2" t="s">
        <x:v>25</x:v>
      </x:c>
      <x:c r="C482" s="9" t="s">
        <x:v>96</x:v>
      </x:c>
      <x:c r="D482" s="9">
        <x:v>7</x:v>
      </x:c>
      <x:c r="E482" s="9">
        <x:v>8</x:v>
      </x:c>
      <x:c r="F482" s="9">
        <x:v>12</x:v>
      </x:c>
      <x:c r="G482" s="16" t="s">
        <x:v>54</x:v>
      </x:c>
    </x:row>
    <x:row r="483" spans="1:7" ht="16.75">
      <x:c r="A483" s="56" t="s">
        <x:v>61</x:v>
      </x:c>
      <x:c r="B483" s="12" t="s">
        <x:v>72</x:v>
      </x:c>
      <x:c r="C483" s="13" t="s">
        <x:v>120</x:v>
      </x:c>
      <x:c r="D483" s="13">
        <x:v>1</x:v>
      </x:c>
      <x:c r="E483" s="13">
        <x:v>11</x:v>
      </x:c>
      <x:c r="F483" s="13">
        <x:v>14</x:v>
      </x:c>
      <x:c r="G483" s="17" t="s">
        <x:v>54</x:v>
      </x:c>
    </x:row>
    <x:row r="485" spans="1:7">
      <x:c r="A485" s="1" t="s">
        <x:v>35</x:v>
      </x:c>
      <x:c r="B485" s="1" t="s">
        <x:v>30</x:v>
      </x:c>
      <x:c r="C485" s="1" t="s">
        <x:v>0</x:v>
      </x:c>
      <x:c r="D485" s="24" t="s">
        <x:v>19</x:v>
      </x:c>
      <x:c r="E485" s="24" t="s">
        <x:v>26</x:v>
      </x:c>
      <x:c r="F485" s="24" t="s">
        <x:v>32</x:v>
      </x:c>
      <x:c r="G485" s="1" t="s">
        <x:v>36</x:v>
      </x:c>
    </x:row>
    <x:row r="486" spans="1:7" ht="16.75">
      <x:c r="A486" s="60" t="s">
        <x:v>21</x:v>
      </x:c>
      <x:c r="B486" s="10" t="s">
        <x:v>33</x:v>
      </x:c>
      <x:c r="C486" s="11" t="s">
        <x:v>67</x:v>
      </x:c>
      <x:c r="D486" s="11">
        <x:v>7</x:v>
      </x:c>
      <x:c r="E486" s="11">
        <x:v>0</x:v>
      </x:c>
      <x:c r="F486" s="11">
        <x:v>7</x:v>
      </x:c>
      <x:c r="G486" s="15" t="s">
        <x:v>39</x:v>
      </x:c>
    </x:row>
    <x:row r="487" spans="1:7">
      <x:c r="A487" s="57" t="s">
        <x:v>60</x:v>
      </x:c>
      <x:c r="B487" s="2" t="s">
        <x:v>56</x:v>
      </x:c>
      <x:c r="C487" s="9" t="s">
        <x:v>65</x:v>
      </x:c>
      <x:c r="D487" s="9">
        <x:v>2</x:v>
      </x:c>
      <x:c r="E487" s="9">
        <x:v>3</x:v>
      </x:c>
      <x:c r="F487" s="9">
        <x:v>11</x:v>
      </x:c>
      <x:c r="G487" s="16" t="s">
        <x:v>39</x:v>
      </x:c>
    </x:row>
    <x:row r="488" spans="1:7">
      <x:c r="A488" s="57" t="s">
        <x:v>73</x:v>
      </x:c>
      <x:c r="B488" s="2" t="s">
        <x:v>34</x:v>
      </x:c>
      <x:c r="C488" s="9" t="s">
        <x:v>83</x:v>
      </x:c>
      <x:c r="D488" s="9">
        <x:v>7</x:v>
      </x:c>
      <x:c r="E488" s="9">
        <x:v>7</x:v>
      </x:c>
      <x:c r="F488" s="9">
        <x:v>9</x:v>
      </x:c>
      <x:c r="G488" s="16" t="s">
        <x:v>39</x:v>
      </x:c>
    </x:row>
    <x:row r="489" spans="1:7">
      <x:c r="A489" s="20" t="s">
        <x:v>70</x:v>
      </x:c>
      <x:c r="B489" s="2" t="s">
        <x:v>25</x:v>
      </x:c>
      <x:c r="C489" s="9" t="s">
        <x:v>102</x:v>
      </x:c>
      <x:c r="D489" s="9">
        <x:v>8</x:v>
      </x:c>
      <x:c r="E489" s="9">
        <x:v>1</x:v>
      </x:c>
      <x:c r="F489" s="9">
        <x:v>6</x:v>
      </x:c>
      <x:c r="G489" s="16" t="s">
        <x:v>39</x:v>
      </x:c>
    </x:row>
    <x:row r="490" spans="1:7" ht="16.75">
      <x:c r="A490" s="53" t="s">
        <x:v>8</x:v>
      </x:c>
      <x:c r="B490" s="12" t="s">
        <x:v>72</x:v>
      </x:c>
      <x:c r="C490" s="13" t="s">
        <x:v>84</x:v>
      </x:c>
      <x:c r="D490" s="13">
        <x:v>2</x:v>
      </x:c>
      <x:c r="E490" s="13">
        <x:v>4</x:v>
      </x:c>
      <x:c r="F490" s="13">
        <x:v>13</x:v>
      </x:c>
      <x:c r="G490" s="17" t="s">
        <x:v>39</x:v>
      </x:c>
    </x:row>
    <x:row r="491" spans="1:7" ht="16.75">
      <x:c r="A491" s="22" t="s">
        <x:v>22</x:v>
      </x:c>
      <x:c r="B491" s="14" t="s">
        <x:v>33</x:v>
      </x:c>
      <x:c r="C491" s="23" t="s">
        <x:v>190</x:v>
      </x:c>
      <x:c r="D491" s="23">
        <x:v>1</x:v>
      </x:c>
      <x:c r="E491" s="23">
        <x:v>5</x:v>
      </x:c>
      <x:c r="F491" s="23">
        <x:v>4</x:v>
      </x:c>
      <x:c r="G491" s="18" t="s">
        <x:v>54</x:v>
      </x:c>
    </x:row>
    <x:row r="492" spans="1:7">
      <x:c r="A492" s="20" t="s">
        <x:v>59</x:v>
      </x:c>
      <x:c r="B492" s="2" t="s">
        <x:v>56</x:v>
      </x:c>
      <x:c r="C492" s="9" t="s">
        <x:v>97</x:v>
      </x:c>
      <x:c r="D492" s="9">
        <x:v>4</x:v>
      </x:c>
      <x:c r="E492" s="9">
        <x:v>5</x:v>
      </x:c>
      <x:c r="F492" s="9">
        <x:v>5</x:v>
      </x:c>
      <x:c r="G492" s="16" t="s">
        <x:v>54</x:v>
      </x:c>
    </x:row>
    <x:row r="493" spans="1:7">
      <x:c r="A493" s="20" t="s">
        <x:v>37</x:v>
      </x:c>
      <x:c r="B493" s="2" t="s">
        <x:v>34</x:v>
      </x:c>
      <x:c r="C493" s="9" t="s">
        <x:v>189</x:v>
      </x:c>
      <x:c r="D493" s="9">
        <x:v>4</x:v>
      </x:c>
      <x:c r="E493" s="9">
        <x:v>7</x:v>
      </x:c>
      <x:c r="F493" s="9">
        <x:v>1</x:v>
      </x:c>
      <x:c r="G493" s="16" t="s">
        <x:v>54</x:v>
      </x:c>
    </x:row>
    <x:row r="494" spans="1:7">
      <x:c r="A494" s="20" t="s">
        <x:v>57</x:v>
      </x:c>
      <x:c r="B494" s="2" t="s">
        <x:v>25</x:v>
      </x:c>
      <x:c r="C494" s="9" t="s">
        <x:v>133</x:v>
      </x:c>
      <x:c r="D494" s="9">
        <x:v>6</x:v>
      </x:c>
      <x:c r="E494" s="9">
        <x:v>6</x:v>
      </x:c>
      <x:c r="F494" s="9">
        <x:v>4</x:v>
      </x:c>
      <x:c r="G494" s="16" t="s">
        <x:v>54</x:v>
      </x:c>
    </x:row>
    <x:row r="495" spans="1:7" ht="16.75">
      <x:c r="A495" s="56" t="s">
        <x:v>61</x:v>
      </x:c>
      <x:c r="B495" s="12" t="s">
        <x:v>72</x:v>
      </x:c>
      <x:c r="C495" s="13" t="s">
        <x:v>51</x:v>
      </x:c>
      <x:c r="D495" s="13">
        <x:v>0</x:v>
      </x:c>
      <x:c r="E495" s="13">
        <x:v>3</x:v>
      </x:c>
      <x:c r="F495" s="13">
        <x:v>10</x:v>
      </x:c>
      <x:c r="G495" s="17" t="s">
        <x:v>54</x:v>
      </x:c>
    </x:row>
    <x:row r="497" spans="1:7">
      <x:c r="A497" s="1" t="s">
        <x:v>35</x:v>
      </x:c>
      <x:c r="B497" s="1" t="s">
        <x:v>30</x:v>
      </x:c>
      <x:c r="C497" s="1" t="s">
        <x:v>0</x:v>
      </x:c>
      <x:c r="D497" s="24" t="s">
        <x:v>19</x:v>
      </x:c>
      <x:c r="E497" s="24" t="s">
        <x:v>26</x:v>
      </x:c>
      <x:c r="F497" s="24" t="s">
        <x:v>32</x:v>
      </x:c>
      <x:c r="G497" s="1" t="s">
        <x:v>36</x:v>
      </x:c>
    </x:row>
    <x:row r="498" spans="1:7" ht="16.75">
      <x:c r="A498" s="60" t="s">
        <x:v>60</x:v>
      </x:c>
      <x:c r="B498" s="10" t="s">
        <x:v>33</x:v>
      </x:c>
      <x:c r="C498" s="11" t="s">
        <x:v>177</x:v>
      </x:c>
      <x:c r="D498" s="11">
        <x:v>1</x:v>
      </x:c>
      <x:c r="E498" s="11">
        <x:v>8</x:v>
      </x:c>
      <x:c r="F498" s="11">
        <x:v>13</x:v>
      </x:c>
      <x:c r="G498" s="15" t="s">
        <x:v>39</x:v>
      </x:c>
    </x:row>
    <x:row r="499" spans="1:7">
      <x:c r="A499" s="57" t="s">
        <x:v>22</x:v>
      </x:c>
      <x:c r="B499" s="2" t="s">
        <x:v>56</x:v>
      </x:c>
      <x:c r="C499" s="9" t="s">
        <x:v>65</x:v>
      </x:c>
      <x:c r="D499" s="9">
        <x:v>10</x:v>
      </x:c>
      <x:c r="E499" s="9">
        <x:v>6</x:v>
      </x:c>
      <x:c r="F499" s="9">
        <x:v>11</x:v>
      </x:c>
      <x:c r="G499" s="16" t="s">
        <x:v>39</x:v>
      </x:c>
    </x:row>
    <x:row r="500" spans="1:7">
      <x:c r="A500" s="57" t="s">
        <x:v>37</x:v>
      </x:c>
      <x:c r="B500" s="2" t="s">
        <x:v>34</x:v>
      </x:c>
      <x:c r="C500" s="9" t="s">
        <x:v>107</x:v>
      </x:c>
      <x:c r="D500" s="9">
        <x:v>13</x:v>
      </x:c>
      <x:c r="E500" s="9">
        <x:v>6</x:v>
      </x:c>
      <x:c r="F500" s="9">
        <x:v>11</x:v>
      </x:c>
      <x:c r="G500" s="16" t="s">
        <x:v>39</x:v>
      </x:c>
    </x:row>
    <x:row r="501" spans="1:7">
      <x:c r="A501" s="20" t="s">
        <x:v>57</x:v>
      </x:c>
      <x:c r="B501" s="2" t="s">
        <x:v>25</x:v>
      </x:c>
      <x:c r="C501" s="9" t="s">
        <x:v>168</x:v>
      </x:c>
      <x:c r="D501" s="9">
        <x:v>14</x:v>
      </x:c>
      <x:c r="E501" s="9">
        <x:v>8</x:v>
      </x:c>
      <x:c r="F501" s="9">
        <x:v>11</x:v>
      </x:c>
      <x:c r="G501" s="16" t="s">
        <x:v>39</x:v>
      </x:c>
    </x:row>
    <x:row r="502" spans="1:7" ht="16.75">
      <x:c r="A502" s="56" t="s">
        <x:v>70</x:v>
      </x:c>
      <x:c r="B502" s="12" t="s">
        <x:v>72</x:v>
      </x:c>
      <x:c r="C502" s="13" t="s">
        <x:v>74</x:v>
      </x:c>
      <x:c r="D502" s="13">
        <x:v>2</x:v>
      </x:c>
      <x:c r="E502" s="13">
        <x:v>5</x:v>
      </x:c>
      <x:c r="F502" s="13">
        <x:v>24</x:v>
      </x:c>
      <x:c r="G502" s="17" t="s">
        <x:v>39</x:v>
      </x:c>
    </x:row>
    <x:row r="503" spans="1:7" ht="16.75">
      <x:c r="A503" s="22" t="s">
        <x:v>76</x:v>
      </x:c>
      <x:c r="B503" s="14" t="s">
        <x:v>33</x:v>
      </x:c>
      <x:c r="C503" s="23" t="s">
        <x:v>179</x:v>
      </x:c>
      <x:c r="D503" s="23">
        <x:v>4</x:v>
      </x:c>
      <x:c r="E503" s="23">
        <x:v>4</x:v>
      </x:c>
      <x:c r="F503" s="23">
        <x:v>18</x:v>
      </x:c>
      <x:c r="G503" s="18" t="s">
        <x:v>54</x:v>
      </x:c>
    </x:row>
    <x:row r="504" spans="1:7">
      <x:c r="A504" s="20" t="s">
        <x:v>59</x:v>
      </x:c>
      <x:c r="B504" s="2" t="s">
        <x:v>56</x:v>
      </x:c>
      <x:c r="C504" s="9" t="s">
        <x:v>88</x:v>
      </x:c>
      <x:c r="D504" s="9">
        <x:v>14</x:v>
      </x:c>
      <x:c r="E504" s="9">
        <x:v>6</x:v>
      </x:c>
      <x:c r="F504" s="9">
        <x:v>10</x:v>
      </x:c>
      <x:c r="G504" s="16" t="s">
        <x:v>54</x:v>
      </x:c>
    </x:row>
    <x:row r="505" spans="1:7">
      <x:c r="A505" s="20" t="s">
        <x:v>73</x:v>
      </x:c>
      <x:c r="B505" s="2" t="s">
        <x:v>34</x:v>
      </x:c>
      <x:c r="C505" s="9" t="s">
        <x:v>138</x:v>
      </x:c>
      <x:c r="D505" s="9">
        <x:v>4</x:v>
      </x:c>
      <x:c r="E505" s="9">
        <x:v>13</x:v>
      </x:c>
      <x:c r="F505" s="9">
        <x:v>6</x:v>
      </x:c>
      <x:c r="G505" s="16" t="s">
        <x:v>54</x:v>
      </x:c>
    </x:row>
    <x:row r="506" spans="1:7">
      <x:c r="A506" s="20" t="s">
        <x:v>21</x:v>
      </x:c>
      <x:c r="B506" s="2" t="s">
        <x:v>25</x:v>
      </x:c>
      <x:c r="C506" s="9" t="s">
        <x:v>69</x:v>
      </x:c>
      <x:c r="D506" s="9">
        <x:v>11</x:v>
      </x:c>
      <x:c r="E506" s="9">
        <x:v>8</x:v>
      </x:c>
      <x:c r="F506" s="9">
        <x:v>9</x:v>
      </x:c>
      <x:c r="G506" s="16" t="s">
        <x:v>54</x:v>
      </x:c>
    </x:row>
    <x:row r="507" spans="1:7" ht="16.75">
      <x:c r="A507" s="56" t="s">
        <x:v>8</x:v>
      </x:c>
      <x:c r="B507" s="12" t="s">
        <x:v>72</x:v>
      </x:c>
      <x:c r="C507" s="13" t="s">
        <x:v>125</x:v>
      </x:c>
      <x:c r="D507" s="13">
        <x:v>0</x:v>
      </x:c>
      <x:c r="E507" s="13">
        <x:v>9</x:v>
      </x:c>
      <x:c r="F507" s="13">
        <x:v>19</x:v>
      </x:c>
      <x:c r="G507" s="17" t="s">
        <x:v>54</x:v>
      </x:c>
    </x:row>
    <x:row r="509" spans="1:7">
      <x:c r="A509" s="1" t="s">
        <x:v>35</x:v>
      </x:c>
      <x:c r="B509" s="1" t="s">
        <x:v>30</x:v>
      </x:c>
      <x:c r="C509" s="1" t="s">
        <x:v>0</x:v>
      </x:c>
      <x:c r="D509" s="24" t="s">
        <x:v>19</x:v>
      </x:c>
      <x:c r="E509" s="24" t="s">
        <x:v>26</x:v>
      </x:c>
      <x:c r="F509" s="24" t="s">
        <x:v>32</x:v>
      </x:c>
      <x:c r="G509" s="1" t="s">
        <x:v>36</x:v>
      </x:c>
    </x:row>
    <x:row r="510" spans="1:7" ht="16.75">
      <x:c r="A510" s="22" t="s">
        <x:v>76</x:v>
      </x:c>
      <x:c r="B510" s="10" t="s">
        <x:v>33</x:v>
      </x:c>
      <x:c r="C510" s="11" t="s">
        <x:v>65</x:v>
      </x:c>
      <x:c r="D510" s="11">
        <x:v>6</x:v>
      </x:c>
      <x:c r="E510" s="11">
        <x:v>9</x:v>
      </x:c>
      <x:c r="F510" s="11">
        <x:v>6</x:v>
      </x:c>
      <x:c r="G510" s="15" t="s">
        <x:v>39</x:v>
      </x:c>
    </x:row>
    <x:row r="511" spans="1:7">
      <x:c r="A511" s="20" t="s">
        <x:v>21</x:v>
      </x:c>
      <x:c r="B511" s="2" t="s">
        <x:v>56</x:v>
      </x:c>
      <x:c r="C511" s="9" t="s">
        <x:v>92</x:v>
      </x:c>
      <x:c r="D511" s="9">
        <x:v>9</x:v>
      </x:c>
      <x:c r="E511" s="9">
        <x:v>7</x:v>
      </x:c>
      <x:c r="F511" s="9">
        <x:v>12</x:v>
      </x:c>
      <x:c r="G511" s="16" t="s">
        <x:v>39</x:v>
      </x:c>
    </x:row>
    <x:row r="512" spans="1:7">
      <x:c r="A512" s="20" t="s">
        <x:v>73</x:v>
      </x:c>
      <x:c r="B512" s="2" t="s">
        <x:v>34</x:v>
      </x:c>
      <x:c r="C512" s="9" t="s">
        <x:v>53</x:v>
      </x:c>
      <x:c r="D512" s="9">
        <x:v>5</x:v>
      </x:c>
      <x:c r="E512" s="9">
        <x:v>11</x:v>
      </x:c>
      <x:c r="F512" s="9">
        <x:v>6</x:v>
      </x:c>
      <x:c r="G512" s="16" t="s">
        <x:v>39</x:v>
      </x:c>
    </x:row>
    <x:row r="513" spans="1:7">
      <x:c r="A513" s="20" t="s">
        <x:v>59</x:v>
      </x:c>
      <x:c r="B513" s="2" t="s">
        <x:v>25</x:v>
      </x:c>
      <x:c r="C513" s="9" t="s">
        <x:v>112</x:v>
      </x:c>
      <x:c r="D513" s="9">
        <x:v>14</x:v>
      </x:c>
      <x:c r="E513" s="9">
        <x:v>5</x:v>
      </x:c>
      <x:c r="F513" s="9">
        <x:v>11</x:v>
      </x:c>
      <x:c r="G513" s="16" t="s">
        <x:v>39</x:v>
      </x:c>
    </x:row>
    <x:row r="514" spans="1:7" ht="16.75">
      <x:c r="A514" s="56" t="s">
        <x:v>8</x:v>
      </x:c>
      <x:c r="B514" s="12" t="s">
        <x:v>72</x:v>
      </x:c>
      <x:c r="C514" s="13" t="s">
        <x:v>166</x:v>
      </x:c>
      <x:c r="D514" s="13">
        <x:v>1</x:v>
      </x:c>
      <x:c r="E514" s="13">
        <x:v>8</x:v>
      </x:c>
      <x:c r="F514" s="13">
        <x:v>17</x:v>
      </x:c>
      <x:c r="G514" s="17" t="s">
        <x:v>39</x:v>
      </x:c>
    </x:row>
    <x:row r="515" spans="1:7" ht="16.75">
      <x:c r="A515" s="60" t="s">
        <x:v>60</x:v>
      </x:c>
      <x:c r="B515" s="14" t="s">
        <x:v>33</x:v>
      </x:c>
      <x:c r="C515" s="23" t="s">
        <x:v>140</x:v>
      </x:c>
      <x:c r="D515" s="23">
        <x:v>11</x:v>
      </x:c>
      <x:c r="E515" s="23">
        <x:v>4</x:v>
      </x:c>
      <x:c r="F515" s="23">
        <x:v>9</x:v>
      </x:c>
      <x:c r="G515" s="18" t="s">
        <x:v>54</x:v>
      </x:c>
    </x:row>
    <x:row r="516" spans="1:7">
      <x:c r="A516" s="57" t="s">
        <x:v>22</x:v>
      </x:c>
      <x:c r="B516" s="2" t="s">
        <x:v>56</x:v>
      </x:c>
      <x:c r="C516" s="9" t="s">
        <x:v>13</x:v>
      </x:c>
      <x:c r="D516" s="9">
        <x:v>6</x:v>
      </x:c>
      <x:c r="E516" s="9">
        <x:v>7</x:v>
      </x:c>
      <x:c r="F516" s="9">
        <x:v>16</x:v>
      </x:c>
      <x:c r="G516" s="16" t="s">
        <x:v>54</x:v>
      </x:c>
    </x:row>
    <x:row r="517" spans="1:7">
      <x:c r="A517" s="57" t="s">
        <x:v>37</x:v>
      </x:c>
      <x:c r="B517" s="2" t="s">
        <x:v>34</x:v>
      </x:c>
      <x:c r="C517" s="9" t="s">
        <x:v>108</x:v>
      </x:c>
      <x:c r="D517" s="9">
        <x:v>9</x:v>
      </x:c>
      <x:c r="E517" s="9">
        <x:v>7</x:v>
      </x:c>
      <x:c r="F517" s="9">
        <x:v>14</x:v>
      </x:c>
      <x:c r="G517" s="16" t="s">
        <x:v>54</x:v>
      </x:c>
    </x:row>
    <x:row r="518" spans="1:7">
      <x:c r="A518" s="20" t="s">
        <x:v>57</x:v>
      </x:c>
      <x:c r="B518" s="2" t="s">
        <x:v>25</x:v>
      </x:c>
      <x:c r="C518" s="9" t="s">
        <x:v>111</x:v>
      </x:c>
      <x:c r="D518" s="9">
        <x:v>12</x:v>
      </x:c>
      <x:c r="E518" s="9">
        <x:v>11</x:v>
      </x:c>
      <x:c r="F518" s="9">
        <x:v>9</x:v>
      </x:c>
      <x:c r="G518" s="16" t="s">
        <x:v>54</x:v>
      </x:c>
    </x:row>
    <x:row r="519" spans="1:7" ht="16.75">
      <x:c r="A519" s="56" t="s">
        <x:v>70</x:v>
      </x:c>
      <x:c r="B519" s="12" t="s">
        <x:v>72</x:v>
      </x:c>
      <x:c r="C519" s="13" t="s">
        <x:v>157</x:v>
      </x:c>
      <x:c r="D519" s="13">
        <x:v>1</x:v>
      </x:c>
      <x:c r="E519" s="13">
        <x:v>6</x:v>
      </x:c>
      <x:c r="F519" s="13">
        <x:v>19</x:v>
      </x:c>
      <x:c r="G519" s="17" t="s">
        <x:v>54</x:v>
      </x:c>
    </x:row>
    <x:row r="521" spans="1:7">
      <x:c r="A521" s="1" t="s">
        <x:v>35</x:v>
      </x:c>
      <x:c r="B521" s="1" t="s">
        <x:v>30</x:v>
      </x:c>
      <x:c r="C521" s="1" t="s">
        <x:v>0</x:v>
      </x:c>
      <x:c r="D521" s="24" t="s">
        <x:v>19</x:v>
      </x:c>
      <x:c r="E521" s="24" t="s">
        <x:v>26</x:v>
      </x:c>
      <x:c r="F521" s="24" t="s">
        <x:v>32</x:v>
      </x:c>
      <x:c r="G521" s="1" t="s">
        <x:v>36</x:v>
      </x:c>
    </x:row>
    <x:row r="522" spans="1:7" ht="16.75">
      <x:c r="A522" s="22" t="s">
        <x:v>76</x:v>
      </x:c>
      <x:c r="B522" s="10" t="s">
        <x:v>33</x:v>
      </x:c>
      <x:c r="C522" s="11" t="s">
        <x:v>17</x:v>
      </x:c>
      <x:c r="D522" s="11">
        <x:v>7</x:v>
      </x:c>
      <x:c r="E522" s="11">
        <x:v>5</x:v>
      </x:c>
      <x:c r="F522" s="11">
        <x:v>4</x:v>
      </x:c>
      <x:c r="G522" s="15" t="s">
        <x:v>39</x:v>
      </x:c>
    </x:row>
    <x:row r="523" spans="1:7">
      <x:c r="A523" s="20" t="s">
        <x:v>22</x:v>
      </x:c>
      <x:c r="B523" s="2" t="s">
        <x:v>56</x:v>
      </x:c>
      <x:c r="C523" s="9" t="s">
        <x:v>152</x:v>
      </x:c>
      <x:c r="D523" s="9">
        <x:v>2</x:v>
      </x:c>
      <x:c r="E523" s="9">
        <x:v>2</x:v>
      </x:c>
      <x:c r="F523" s="9">
        <x:v>11</x:v>
      </x:c>
      <x:c r="G523" s="16" t="s">
        <x:v>39</x:v>
      </x:c>
    </x:row>
    <x:row r="524" spans="1:7">
      <x:c r="A524" s="20" t="s">
        <x:v>44</x:v>
      </x:c>
      <x:c r="B524" s="2" t="s">
        <x:v>34</x:v>
      </x:c>
      <x:c r="C524" s="9" t="s">
        <x:v>66</x:v>
      </x:c>
      <x:c r="D524" s="9">
        <x:v>5</x:v>
      </x:c>
      <x:c r="E524" s="9">
        <x:v>7</x:v>
      </x:c>
      <x:c r="F524" s="9">
        <x:v>2</x:v>
      </x:c>
      <x:c r="G524" s="16" t="s">
        <x:v>39</x:v>
      </x:c>
    </x:row>
    <x:row r="525" spans="1:7">
      <x:c r="A525" s="20" t="s">
        <x:v>124</x:v>
      </x:c>
      <x:c r="B525" s="2" t="s">
        <x:v>25</x:v>
      </x:c>
      <x:c r="C525" s="9" t="s">
        <x:v>96</x:v>
      </x:c>
      <x:c r="D525" s="9">
        <x:v>12</x:v>
      </x:c>
      <x:c r="E525" s="9">
        <x:v>4</x:v>
      </x:c>
      <x:c r="F525" s="9">
        <x:v>4</x:v>
      </x:c>
      <x:c r="G525" s="16" t="s">
        <x:v>39</x:v>
      </x:c>
    </x:row>
    <x:row r="526" spans="1:7" ht="16.75">
      <x:c r="A526" s="56" t="s">
        <x:v>150</x:v>
      </x:c>
      <x:c r="B526" s="12" t="s">
        <x:v>72</x:v>
      </x:c>
      <x:c r="C526" s="13" t="s">
        <x:v>131</x:v>
      </x:c>
      <x:c r="D526" s="13">
        <x:v>2</x:v>
      </x:c>
      <x:c r="E526" s="13">
        <x:v>2</x:v>
      </x:c>
      <x:c r="F526" s="13">
        <x:v>16</x:v>
      </x:c>
      <x:c r="G526" s="17" t="s">
        <x:v>39</x:v>
      </x:c>
    </x:row>
    <x:row r="527" spans="1:7" ht="16.75">
      <x:c r="A527" s="60" t="s">
        <x:v>21</x:v>
      </x:c>
      <x:c r="B527" s="14" t="s">
        <x:v>33</x:v>
      </x:c>
      <x:c r="C527" s="23" t="s">
        <x:v>88</x:v>
      </x:c>
      <x:c r="D527" s="23">
        <x:v>6</x:v>
      </x:c>
      <x:c r="E527" s="23">
        <x:v>7</x:v>
      </x:c>
      <x:c r="F527" s="23">
        <x:v>4</x:v>
      </x:c>
      <x:c r="G527" s="18" t="s">
        <x:v>54</x:v>
      </x:c>
    </x:row>
    <x:row r="528" spans="1:7">
      <x:c r="A528" s="57" t="s">
        <x:v>59</x:v>
      </x:c>
      <x:c r="B528" s="2" t="s">
        <x:v>56</x:v>
      </x:c>
      <x:c r="C528" s="9" t="s">
        <x:v>101</x:v>
      </x:c>
      <x:c r="D528" s="9">
        <x:v>3</x:v>
      </x:c>
      <x:c r="E528" s="9">
        <x:v>6</x:v>
      </x:c>
      <x:c r="F528" s="9">
        <x:v>8</x:v>
      </x:c>
      <x:c r="G528" s="16" t="s">
        <x:v>54</x:v>
      </x:c>
    </x:row>
    <x:row r="529" spans="1:7">
      <x:c r="A529" s="57" t="s">
        <x:v>73</x:v>
      </x:c>
      <x:c r="B529" s="2" t="s">
        <x:v>34</x:v>
      </x:c>
      <x:c r="C529" s="9" t="s">
        <x:v>188</x:v>
      </x:c>
      <x:c r="D529" s="9">
        <x:v>9</x:v>
      </x:c>
      <x:c r="E529" s="9">
        <x:v>6</x:v>
      </x:c>
      <x:c r="F529" s="9">
        <x:v>3</x:v>
      </x:c>
      <x:c r="G529" s="16" t="s">
        <x:v>54</x:v>
      </x:c>
    </x:row>
    <x:row r="530" spans="1:7">
      <x:c r="A530" s="20" t="s">
        <x:v>12</x:v>
      </x:c>
      <x:c r="B530" s="2" t="s">
        <x:v>25</x:v>
      </x:c>
      <x:c r="C530" s="9" t="s">
        <x:v>2</x:v>
      </x:c>
      <x:c r="D530" s="9">
        <x:v>1</x:v>
      </x:c>
      <x:c r="E530" s="9">
        <x:v>6</x:v>
      </x:c>
      <x:c r="F530" s="9">
        <x:v>3</x:v>
      </x:c>
      <x:c r="G530" s="16" t="s">
        <x:v>54</x:v>
      </x:c>
    </x:row>
    <x:row r="531" spans="1:7" ht="16.75">
      <x:c r="A531" s="56" t="s">
        <x:v>70</x:v>
      </x:c>
      <x:c r="B531" s="12" t="s">
        <x:v>72</x:v>
      </x:c>
      <x:c r="C531" s="13" t="s">
        <x:v>74</x:v>
      </x:c>
      <x:c r="D531" s="13">
        <x:v>1</x:v>
      </x:c>
      <x:c r="E531" s="13">
        <x:v>3</x:v>
      </x:c>
      <x:c r="F531" s="13">
        <x:v>7</x:v>
      </x:c>
      <x:c r="G531" s="17" t="s">
        <x:v>54</x:v>
      </x:c>
    </x:row>
    <x:row r="533" spans="1:7">
      <x:c r="A533" s="1" t="s">
        <x:v>35</x:v>
      </x:c>
      <x:c r="B533" s="1" t="s">
        <x:v>30</x:v>
      </x:c>
      <x:c r="C533" s="1" t="s">
        <x:v>0</x:v>
      </x:c>
      <x:c r="D533" s="24" t="s">
        <x:v>19</x:v>
      </x:c>
      <x:c r="E533" s="24" t="s">
        <x:v>26</x:v>
      </x:c>
      <x:c r="F533" s="24" t="s">
        <x:v>32</x:v>
      </x:c>
      <x:c r="G533" s="1" t="s">
        <x:v>36</x:v>
      </x:c>
    </x:row>
    <x:row r="534" spans="1:7" ht="16.75">
      <x:c r="A534" s="22" t="s">
        <x:v>12</x:v>
      </x:c>
      <x:c r="B534" s="10" t="s">
        <x:v>33</x:v>
      </x:c>
      <x:c r="C534" s="11" t="s">
        <x:v>179</x:v>
      </x:c>
      <x:c r="D534" s="11">
        <x:v>5</x:v>
      </x:c>
      <x:c r="E534" s="11">
        <x:v>3</x:v>
      </x:c>
      <x:c r="F534" s="11">
        <x:v>7</x:v>
      </x:c>
      <x:c r="G534" s="15" t="s">
        <x:v>39</x:v>
      </x:c>
    </x:row>
    <x:row r="535" spans="1:7">
      <x:c r="A535" s="20" t="s">
        <x:v>22</x:v>
      </x:c>
      <x:c r="B535" s="2" t="s">
        <x:v>56</x:v>
      </x:c>
      <x:c r="C535" s="9" t="s">
        <x:v>113</x:v>
      </x:c>
      <x:c r="D535" s="9">
        <x:v>13</x:v>
      </x:c>
      <x:c r="E535" s="9">
        <x:v>4</x:v>
      </x:c>
      <x:c r="F535" s="9">
        <x:v>18</x:v>
      </x:c>
      <x:c r="G535" s="16" t="s">
        <x:v>39</x:v>
      </x:c>
    </x:row>
    <x:row r="536" spans="1:7">
      <x:c r="A536" s="20" t="s">
        <x:v>73</x:v>
      </x:c>
      <x:c r="B536" s="2" t="s">
        <x:v>34</x:v>
      </x:c>
      <x:c r="C536" s="9" t="s">
        <x:v>114</x:v>
      </x:c>
      <x:c r="D536" s="9">
        <x:v>11</x:v>
      </x:c>
      <x:c r="E536" s="9">
        <x:v>8</x:v>
      </x:c>
      <x:c r="F536" s="9">
        <x:v>7</x:v>
      </x:c>
      <x:c r="G536" s="16" t="s">
        <x:v>39</x:v>
      </x:c>
    </x:row>
    <x:row r="537" spans="1:7">
      <x:c r="A537" s="20" t="s">
        <x:v>50</x:v>
      </x:c>
      <x:c r="B537" s="2" t="s">
        <x:v>25</x:v>
      </x:c>
      <x:c r="C537" s="9" t="s">
        <x:v>111</x:v>
      </x:c>
      <x:c r="D537" s="9">
        <x:v>10</x:v>
      </x:c>
      <x:c r="E537" s="9">
        <x:v>6</x:v>
      </x:c>
      <x:c r="F537" s="9">
        <x:v>18</x:v>
      </x:c>
      <x:c r="G537" s="16" t="s">
        <x:v>39</x:v>
      </x:c>
    </x:row>
    <x:row r="538" spans="1:7" ht="16.75">
      <x:c r="A538" s="56" t="s">
        <x:v>21</x:v>
      </x:c>
      <x:c r="B538" s="12" t="s">
        <x:v>72</x:v>
      </x:c>
      <x:c r="C538" s="13" t="s">
        <x:v>80</x:v>
      </x:c>
      <x:c r="D538" s="13">
        <x:v>4</x:v>
      </x:c>
      <x:c r="E538" s="13">
        <x:v>4</x:v>
      </x:c>
      <x:c r="F538" s="13">
        <x:v>27</x:v>
      </x:c>
      <x:c r="G538" s="17" t="s">
        <x:v>39</x:v>
      </x:c>
    </x:row>
    <x:row r="539" spans="1:7" ht="16.75">
      <x:c r="A539" s="60" t="s">
        <x:v>44</x:v>
      </x:c>
      <x:c r="B539" s="14" t="s">
        <x:v>33</x:v>
      </x:c>
      <x:c r="C539" s="23" t="s">
        <x:v>170</x:v>
      </x:c>
      <x:c r="D539" s="23">
        <x:v>2</x:v>
      </x:c>
      <x:c r="E539" s="23">
        <x:v>9</x:v>
      </x:c>
      <x:c r="F539" s="23">
        <x:v>0</x:v>
      </x:c>
      <x:c r="G539" s="18" t="s">
        <x:v>54</x:v>
      </x:c>
    </x:row>
    <x:row r="540" spans="1:7">
      <x:c r="A540" s="57" t="s">
        <x:v>124</x:v>
      </x:c>
      <x:c r="B540" s="2" t="s">
        <x:v>56</x:v>
      </x:c>
      <x:c r="C540" s="9" t="s">
        <x:v>88</x:v>
      </x:c>
      <x:c r="D540" s="9">
        <x:v>6</x:v>
      </x:c>
      <x:c r="E540" s="9">
        <x:v>9</x:v>
      </x:c>
      <x:c r="F540" s="9">
        <x:v>12</x:v>
      </x:c>
      <x:c r="G540" s="16" t="s">
        <x:v>54</x:v>
      </x:c>
    </x:row>
    <x:row r="541" spans="1:7">
      <x:c r="A541" s="57" t="s">
        <x:v>150</x:v>
      </x:c>
      <x:c r="B541" s="2" t="s">
        <x:v>34</x:v>
      </x:c>
      <x:c r="C541" s="9" t="s">
        <x:v>16</x:v>
      </x:c>
      <x:c r="D541" s="9">
        <x:v>7</x:v>
      </x:c>
      <x:c r="E541" s="9">
        <x:v>6</x:v>
      </x:c>
      <x:c r="F541" s="9">
        <x:v>6</x:v>
      </x:c>
      <x:c r="G541" s="16" t="s">
        <x:v>54</x:v>
      </x:c>
    </x:row>
    <x:row r="542" spans="1:7">
      <x:c r="A542" s="20" t="s">
        <x:v>47</x:v>
      </x:c>
      <x:c r="B542" s="2" t="s">
        <x:v>25</x:v>
      </x:c>
      <x:c r="C542" s="9" t="s">
        <x:v>159</x:v>
      </x:c>
      <x:c r="D542" s="9">
        <x:v>8</x:v>
      </x:c>
      <x:c r="E542" s="9">
        <x:v>11</x:v>
      </x:c>
      <x:c r="F542" s="9">
        <x:v>6</x:v>
      </x:c>
      <x:c r="G542" s="16" t="s">
        <x:v>54</x:v>
      </x:c>
    </x:row>
    <x:row r="543" spans="1:7" ht="16.75">
      <x:c r="A543" s="56" t="s">
        <x:v>59</x:v>
      </x:c>
      <x:c r="B543" s="12" t="s">
        <x:v>72</x:v>
      </x:c>
      <x:c r="C543" s="13" t="s">
        <x:v>185</x:v>
      </x:c>
      <x:c r="D543" s="13">
        <x:v>2</x:v>
      </x:c>
      <x:c r="E543" s="13">
        <x:v>8</x:v>
      </x:c>
      <x:c r="F543" s="13">
        <x:v>9</x:v>
      </x:c>
      <x:c r="G543" s="17" t="s">
        <x:v>54</x:v>
      </x:c>
    </x:row>
    <x:row r="545" spans="1:7">
      <x:c r="A545" s="1" t="s">
        <x:v>35</x:v>
      </x:c>
      <x:c r="B545" s="1" t="s">
        <x:v>30</x:v>
      </x:c>
      <x:c r="C545" s="1" t="s">
        <x:v>0</x:v>
      </x:c>
      <x:c r="D545" s="24" t="s">
        <x:v>19</x:v>
      </x:c>
      <x:c r="E545" s="24" t="s">
        <x:v>26</x:v>
      </x:c>
      <x:c r="F545" s="24" t="s">
        <x:v>32</x:v>
      </x:c>
      <x:c r="G545" s="1" t="s">
        <x:v>36</x:v>
      </x:c>
    </x:row>
    <x:row r="546" spans="1:7" ht="16.75">
      <x:c r="A546" s="22" t="s">
        <x:v>12</x:v>
      </x:c>
      <x:c r="B546" s="10" t="s">
        <x:v>33</x:v>
      </x:c>
      <x:c r="C546" s="11" t="s">
        <x:v>31</x:v>
      </x:c>
      <x:c r="D546" s="11">
        <x:v>2</x:v>
      </x:c>
      <x:c r="E546" s="11">
        <x:v>6</x:v>
      </x:c>
      <x:c r="F546" s="11">
        <x:v>4</x:v>
      </x:c>
      <x:c r="G546" s="15" t="s">
        <x:v>39</x:v>
      </x:c>
    </x:row>
    <x:row r="547" spans="1:7">
      <x:c r="A547" s="20" t="s">
        <x:v>22</x:v>
      </x:c>
      <x:c r="B547" s="2" t="s">
        <x:v>56</x:v>
      </x:c>
      <x:c r="C547" s="9" t="s">
        <x:v>42</x:v>
      </x:c>
      <x:c r="D547" s="9">
        <x:v>12</x:v>
      </x:c>
      <x:c r="E547" s="9">
        <x:v>8</x:v>
      </x:c>
      <x:c r="F547" s="9">
        <x:v>13</x:v>
      </x:c>
      <x:c r="G547" s="16" t="s">
        <x:v>39</x:v>
      </x:c>
    </x:row>
    <x:row r="548" spans="1:7">
      <x:c r="A548" s="20" t="s">
        <x:v>73</x:v>
      </x:c>
      <x:c r="B548" s="2" t="s">
        <x:v>34</x:v>
      </x:c>
      <x:c r="C548" s="9" t="s">
        <x:v>83</x:v>
      </x:c>
      <x:c r="D548" s="9">
        <x:v>10</x:v>
      </x:c>
      <x:c r="E548" s="9">
        <x:v>11</x:v>
      </x:c>
      <x:c r="F548" s="9">
        <x:v>12</x:v>
      </x:c>
      <x:c r="G548" s="16" t="s">
        <x:v>39</x:v>
      </x:c>
    </x:row>
    <x:row r="549" spans="1:7">
      <x:c r="A549" s="20" t="s">
        <x:v>50</x:v>
      </x:c>
      <x:c r="B549" s="2" t="s">
        <x:v>25</x:v>
      </x:c>
      <x:c r="C549" s="9" t="s">
        <x:v>144</x:v>
      </x:c>
      <x:c r="D549" s="9">
        <x:v>13</x:v>
      </x:c>
      <x:c r="E549" s="9">
        <x:v>4</x:v>
      </x:c>
      <x:c r="F549" s="9">
        <x:v>18</x:v>
      </x:c>
      <x:c r="G549" s="16" t="s">
        <x:v>39</x:v>
      </x:c>
    </x:row>
    <x:row r="550" spans="1:7" ht="16.75">
      <x:c r="A550" s="56" t="s">
        <x:v>21</x:v>
      </x:c>
      <x:c r="B550" s="12" t="s">
        <x:v>72</x:v>
      </x:c>
      <x:c r="C550" s="13" t="s">
        <x:v>86</x:v>
      </x:c>
      <x:c r="D550" s="13">
        <x:v>7</x:v>
      </x:c>
      <x:c r="E550" s="13">
        <x:v>4</x:v>
      </x:c>
      <x:c r="F550" s="13">
        <x:v>16</x:v>
      </x:c>
      <x:c r="G550" s="17" t="s">
        <x:v>39</x:v>
      </x:c>
    </x:row>
    <x:row r="551" spans="1:7" ht="16.75">
      <x:c r="A551" s="60" t="s">
        <x:v>44</x:v>
      </x:c>
      <x:c r="B551" s="14" t="s">
        <x:v>33</x:v>
      </x:c>
      <x:c r="C551" s="23" t="s">
        <x:v>2</x:v>
      </x:c>
      <x:c r="D551" s="23">
        <x:v>11</x:v>
      </x:c>
      <x:c r="E551" s="23">
        <x:v>9</x:v>
      </x:c>
      <x:c r="F551" s="23">
        <x:v>3</x:v>
      </x:c>
      <x:c r="G551" s="18" t="s">
        <x:v>54</x:v>
      </x:c>
    </x:row>
    <x:row r="552" spans="1:7">
      <x:c r="A552" s="57" t="s">
        <x:v>124</x:v>
      </x:c>
      <x:c r="B552" s="2" t="s">
        <x:v>56</x:v>
      </x:c>
      <x:c r="C552" s="9" t="s">
        <x:v>97</x:v>
      </x:c>
      <x:c r="D552" s="9">
        <x:v>8</x:v>
      </x:c>
      <x:c r="E552" s="9">
        <x:v>6</x:v>
      </x:c>
      <x:c r="F552" s="9">
        <x:v>13</x:v>
      </x:c>
      <x:c r="G552" s="16" t="s">
        <x:v>54</x:v>
      </x:c>
    </x:row>
    <x:row r="553" spans="1:7">
      <x:c r="A553" s="57" t="s">
        <x:v>150</x:v>
      </x:c>
      <x:c r="B553" s="2" t="s">
        <x:v>34</x:v>
      </x:c>
      <x:c r="C553" s="9" t="s">
        <x:v>142</x:v>
      </x:c>
      <x:c r="D553" s="9">
        <x:v>9</x:v>
      </x:c>
      <x:c r="E553" s="9">
        <x:v>7</x:v>
      </x:c>
      <x:c r="F553" s="9">
        <x:v>9</x:v>
      </x:c>
      <x:c r="G553" s="16" t="s">
        <x:v>54</x:v>
      </x:c>
    </x:row>
    <x:row r="554" spans="1:7">
      <x:c r="A554" s="20" t="s">
        <x:v>47</x:v>
      </x:c>
      <x:c r="B554" s="2" t="s">
        <x:v>25</x:v>
      </x:c>
      <x:c r="C554" s="9" t="s">
        <x:v>168</x:v>
      </x:c>
      <x:c r="D554" s="9">
        <x:v>5</x:v>
      </x:c>
      <x:c r="E554" s="9">
        <x:v>13</x:v>
      </x:c>
      <x:c r="F554" s="9">
        <x:v>5</x:v>
      </x:c>
      <x:c r="G554" s="16" t="s">
        <x:v>54</x:v>
      </x:c>
    </x:row>
    <x:row r="555" spans="1:7" ht="16.75">
      <x:c r="A555" s="56" t="s">
        <x:v>59</x:v>
      </x:c>
      <x:c r="B555" s="12" t="s">
        <x:v>72</x:v>
      </x:c>
      <x:c r="C555" s="13" t="s">
        <x:v>145</x:v>
      </x:c>
      <x:c r="D555" s="13">
        <x:v>0</x:v>
      </x:c>
      <x:c r="E555" s="13">
        <x:v>9</x:v>
      </x:c>
      <x:c r="F555" s="13">
        <x:v>8</x:v>
      </x:c>
      <x:c r="G555" s="17" t="s">
        <x:v>54</x:v>
      </x:c>
    </x:row>
    <x:row r="557" spans="1:7">
      <x:c r="A557" s="1" t="s">
        <x:v>35</x:v>
      </x:c>
      <x:c r="B557" s="1" t="s">
        <x:v>30</x:v>
      </x:c>
      <x:c r="C557" s="1" t="s">
        <x:v>0</x:v>
      </x:c>
      <x:c r="D557" s="24" t="s">
        <x:v>19</x:v>
      </x:c>
      <x:c r="E557" s="24" t="s">
        <x:v>26</x:v>
      </x:c>
      <x:c r="F557" s="24" t="s">
        <x:v>32</x:v>
      </x:c>
      <x:c r="G557" s="1" t="s">
        <x:v>36</x:v>
      </x:c>
    </x:row>
    <x:row r="558" spans="1:7" ht="16.75">
      <x:c r="A558" s="22" t="s">
        <x:v>12</x:v>
      </x:c>
      <x:c r="B558" s="10" t="s">
        <x:v>33</x:v>
      </x:c>
      <x:c r="C558" s="11" t="s">
        <x:v>106</x:v>
      </x:c>
      <x:c r="D558" s="11">
        <x:v>4</x:v>
      </x:c>
      <x:c r="E558" s="11">
        <x:v>5</x:v>
      </x:c>
      <x:c r="F558" s="11">
        <x:v>6</x:v>
      </x:c>
      <x:c r="G558" s="15" t="s">
        <x:v>39</x:v>
      </x:c>
    </x:row>
    <x:row r="559" spans="1:7">
      <x:c r="A559" s="20" t="s">
        <x:v>22</x:v>
      </x:c>
      <x:c r="B559" s="2" t="s">
        <x:v>56</x:v>
      </x:c>
      <x:c r="C559" s="9" t="s">
        <x:v>113</x:v>
      </x:c>
      <x:c r="D559" s="9">
        <x:v>13</x:v>
      </x:c>
      <x:c r="E559" s="9">
        <x:v>1</x:v>
      </x:c>
      <x:c r="F559" s="9">
        <x:v>6</x:v>
      </x:c>
      <x:c r="G559" s="16" t="s">
        <x:v>39</x:v>
      </x:c>
    </x:row>
    <x:row r="560" spans="1:7">
      <x:c r="A560" s="20" t="s">
        <x:v>73</x:v>
      </x:c>
      <x:c r="B560" s="2" t="s">
        <x:v>34</x:v>
      </x:c>
      <x:c r="C560" s="9" t="s">
        <x:v>188</x:v>
      </x:c>
      <x:c r="D560" s="9">
        <x:v>11</x:v>
      </x:c>
      <x:c r="E560" s="9">
        <x:v>4</x:v>
      </x:c>
      <x:c r="F560" s="9">
        <x:v>12</x:v>
      </x:c>
      <x:c r="G560" s="16" t="s">
        <x:v>39</x:v>
      </x:c>
    </x:row>
    <x:row r="561" spans="1:7">
      <x:c r="A561" s="20" t="s">
        <x:v>50</x:v>
      </x:c>
      <x:c r="B561" s="2" t="s">
        <x:v>25</x:v>
      </x:c>
      <x:c r="C561" s="9" t="s">
        <x:v>111</x:v>
      </x:c>
      <x:c r="D561" s="9">
        <x:v>7</x:v>
      </x:c>
      <x:c r="E561" s="9">
        <x:v>5</x:v>
      </x:c>
      <x:c r="F561" s="9">
        <x:v>11</x:v>
      </x:c>
      <x:c r="G561" s="16" t="s">
        <x:v>39</x:v>
      </x:c>
    </x:row>
    <x:row r="562" spans="1:7" ht="16.75">
      <x:c r="A562" s="56" t="s">
        <x:v>21</x:v>
      </x:c>
      <x:c r="B562" s="12" t="s">
        <x:v>72</x:v>
      </x:c>
      <x:c r="C562" s="13" t="s">
        <x:v>107</x:v>
      </x:c>
      <x:c r="D562" s="13">
        <x:v>7</x:v>
      </x:c>
      <x:c r="E562" s="13">
        <x:v>4</x:v>
      </x:c>
      <x:c r="F562" s="13">
        <x:v>12</x:v>
      </x:c>
      <x:c r="G562" s="17" t="s">
        <x:v>39</x:v>
      </x:c>
    </x:row>
    <x:row r="563" spans="1:7" ht="16.75">
      <x:c r="A563" s="60" t="s">
        <x:v>44</x:v>
      </x:c>
      <x:c r="B563" s="14" t="s">
        <x:v>33</x:v>
      </x:c>
      <x:c r="C563" s="23" t="s">
        <x:v>83</x:v>
      </x:c>
      <x:c r="D563" s="23">
        <x:v>3</x:v>
      </x:c>
      <x:c r="E563" s="23">
        <x:v>12</x:v>
      </x:c>
      <x:c r="F563" s="23">
        <x:v>2</x:v>
      </x:c>
      <x:c r="G563" s="18" t="s">
        <x:v>54</x:v>
      </x:c>
    </x:row>
    <x:row r="564" spans="1:7">
      <x:c r="A564" s="57" t="s">
        <x:v>59</x:v>
      </x:c>
      <x:c r="B564" s="2" t="s">
        <x:v>56</x:v>
      </x:c>
      <x:c r="C564" s="9" t="s">
        <x:v>174</x:v>
      </x:c>
      <x:c r="D564" s="9">
        <x:v>0</x:v>
      </x:c>
      <x:c r="E564" s="9">
        <x:v>5</x:v>
      </x:c>
      <x:c r="F564" s="9">
        <x:v>8</x:v>
      </x:c>
      <x:c r="G564" s="16" t="s">
        <x:v>54</x:v>
      </x:c>
    </x:row>
    <x:row r="565" spans="1:7">
      <x:c r="A565" s="57" t="s">
        <x:v>47</x:v>
      </x:c>
      <x:c r="B565" s="2" t="s">
        <x:v>34</x:v>
      </x:c>
      <x:c r="C565" s="9" t="s">
        <x:v>15</x:v>
      </x:c>
      <x:c r="D565" s="9">
        <x:v>11</x:v>
      </x:c>
      <x:c r="E565" s="9">
        <x:v>9</x:v>
      </x:c>
      <x:c r="F565" s="9">
        <x:v>0</x:v>
      </x:c>
      <x:c r="G565" s="16" t="s">
        <x:v>54</x:v>
      </x:c>
    </x:row>
    <x:row r="566" spans="1:7">
      <x:c r="A566" s="20" t="s">
        <x:v>124</x:v>
      </x:c>
      <x:c r="B566" s="2" t="s">
        <x:v>25</x:v>
      </x:c>
      <x:c r="C566" s="9" t="s">
        <x:v>102</x:v>
      </x:c>
      <x:c r="D566" s="9">
        <x:v>3</x:v>
      </x:c>
      <x:c r="E566" s="9">
        <x:v>11</x:v>
      </x:c>
      <x:c r="F566" s="9">
        <x:v>3</x:v>
      </x:c>
      <x:c r="G566" s="16" t="s">
        <x:v>54</x:v>
      </x:c>
    </x:row>
    <x:row r="567" spans="1:7" ht="16.75">
      <x:c r="A567" s="56" t="s">
        <x:v>150</x:v>
      </x:c>
      <x:c r="B567" s="12" t="s">
        <x:v>72</x:v>
      </x:c>
      <x:c r="C567" s="13" t="s">
        <x:v>84</x:v>
      </x:c>
      <x:c r="D567" s="13">
        <x:v>2</x:v>
      </x:c>
      <x:c r="E567" s="13">
        <x:v>5</x:v>
      </x:c>
      <x:c r="F567" s="13">
        <x:v>5</x:v>
      </x:c>
      <x:c r="G567" s="17" t="s">
        <x:v>54</x:v>
      </x:c>
    </x:row>
    <x:row r="569" spans="1:7">
      <x:c r="A569" s="1" t="s">
        <x:v>35</x:v>
      </x:c>
      <x:c r="B569" s="1" t="s">
        <x:v>30</x:v>
      </x:c>
      <x:c r="C569" s="1" t="s">
        <x:v>0</x:v>
      </x:c>
      <x:c r="D569" s="24" t="s">
        <x:v>19</x:v>
      </x:c>
      <x:c r="E569" s="24" t="s">
        <x:v>26</x:v>
      </x:c>
      <x:c r="F569" s="24" t="s">
        <x:v>32</x:v>
      </x:c>
      <x:c r="G569" s="1" t="s">
        <x:v>36</x:v>
      </x:c>
    </x:row>
    <x:row r="570" spans="1:7" ht="16.75">
      <x:c r="A570" s="22" t="s">
        <x:v>62</x:v>
      </x:c>
      <x:c r="B570" s="10" t="s">
        <x:v>33</x:v>
      </x:c>
      <x:c r="C570" s="11" t="s">
        <x:v>165</x:v>
      </x:c>
      <x:c r="D570" s="11">
        <x:v>13</x:v>
      </x:c>
      <x:c r="E570" s="11">
        <x:v>4</x:v>
      </x:c>
      <x:c r="F570" s="11">
        <x:v>2</x:v>
      </x:c>
      <x:c r="G570" s="15" t="s">
        <x:v>39</x:v>
      </x:c>
    </x:row>
    <x:row r="571" spans="1:7">
      <x:c r="A571" s="20" t="s">
        <x:v>105</x:v>
      </x:c>
      <x:c r="B571" s="2" t="s">
        <x:v>56</x:v>
      </x:c>
      <x:c r="C571" s="9" t="s">
        <x:v>184</x:v>
      </x:c>
      <x:c r="D571" s="9">
        <x:v>4</x:v>
      </x:c>
      <x:c r="E571" s="9">
        <x:v>7</x:v>
      </x:c>
      <x:c r="F571" s="9">
        <x:v>10</x:v>
      </x:c>
      <x:c r="G571" s="16" t="s">
        <x:v>39</x:v>
      </x:c>
    </x:row>
    <x:row r="572" spans="1:7">
      <x:c r="A572" s="54" t="s">
        <x:v>29</x:v>
      </x:c>
      <x:c r="B572" s="2" t="s">
        <x:v>34</x:v>
      </x:c>
      <x:c r="C572" s="9" t="s">
        <x:v>16</x:v>
      </x:c>
      <x:c r="D572" s="9">
        <x:v>7</x:v>
      </x:c>
      <x:c r="E572" s="9">
        <x:v>2</x:v>
      </x:c>
      <x:c r="F572" s="9">
        <x:v>10</x:v>
      </x:c>
      <x:c r="G572" s="16" t="s">
        <x:v>39</x:v>
      </x:c>
    </x:row>
    <x:row r="573" spans="1:7">
      <x:c r="A573" s="20" t="s">
        <x:v>139</x:v>
      </x:c>
      <x:c r="B573" s="2" t="s">
        <x:v>25</x:v>
      </x:c>
      <x:c r="C573" s="9" t="s">
        <x:v>159</x:v>
      </x:c>
      <x:c r="D573" s="9">
        <x:v>19</x:v>
      </x:c>
      <x:c r="E573" s="9">
        <x:v>7</x:v>
      </x:c>
      <x:c r="F573" s="9">
        <x:v>10</x:v>
      </x:c>
      <x:c r="G573" s="16" t="s">
        <x:v>39</x:v>
      </x:c>
    </x:row>
    <x:row r="574" spans="1:7" ht="16.75">
      <x:c r="A574" s="56" t="s">
        <x:v>71</x:v>
      </x:c>
      <x:c r="B574" s="12" t="s">
        <x:v>72</x:v>
      </x:c>
      <x:c r="C574" s="13" t="s">
        <x:v>185</x:v>
      </x:c>
      <x:c r="D574" s="13">
        <x:v>0</x:v>
      </x:c>
      <x:c r="E574" s="13">
        <x:v>6</x:v>
      </x:c>
      <x:c r="F574" s="13">
        <x:v>22</x:v>
      </x:c>
      <x:c r="G574" s="17" t="s">
        <x:v>39</x:v>
      </x:c>
    </x:row>
    <x:row r="575" spans="1:7" ht="16.75">
      <x:c r="A575" s="60" t="s">
        <x:v>76</x:v>
      </x:c>
      <x:c r="B575" s="14" t="s">
        <x:v>33</x:v>
      </x:c>
      <x:c r="C575" s="23" t="s">
        <x:v>65</x:v>
      </x:c>
      <x:c r="D575" s="23">
        <x:v>5</x:v>
      </x:c>
      <x:c r="E575" s="23">
        <x:v>11</x:v>
      </x:c>
      <x:c r="F575" s="23">
        <x:v>2</x:v>
      </x:c>
      <x:c r="G575" s="18" t="s">
        <x:v>54</x:v>
      </x:c>
    </x:row>
    <x:row r="576" spans="1:7">
      <x:c r="A576" s="57" t="s">
        <x:v>22</x:v>
      </x:c>
      <x:c r="B576" s="2" t="s">
        <x:v>56</x:v>
      </x:c>
      <x:c r="C576" s="9" t="s">
        <x:v>113</x:v>
      </x:c>
      <x:c r="D576" s="9">
        <x:v>6</x:v>
      </x:c>
      <x:c r="E576" s="9">
        <x:v>7</x:v>
      </x:c>
      <x:c r="F576" s="9">
        <x:v>8</x:v>
      </x:c>
      <x:c r="G576" s="16" t="s">
        <x:v>54</x:v>
      </x:c>
    </x:row>
    <x:row r="577" spans="1:7">
      <x:c r="A577" s="57" t="s">
        <x:v>60</x:v>
      </x:c>
      <x:c r="B577" s="2" t="s">
        <x:v>34</x:v>
      </x:c>
      <x:c r="C577" s="9" t="s">
        <x:v>188</x:v>
      </x:c>
      <x:c r="D577" s="9">
        <x:v>8</x:v>
      </x:c>
      <x:c r="E577" s="9">
        <x:v>6</x:v>
      </x:c>
      <x:c r="F577" s="9">
        <x:v>6</x:v>
      </x:c>
      <x:c r="G577" s="16" t="s">
        <x:v>54</x:v>
      </x:c>
    </x:row>
    <x:row r="578" spans="1:7">
      <x:c r="A578" s="20" t="s">
        <x:v>50</x:v>
      </x:c>
      <x:c r="B578" s="2" t="s">
        <x:v>25</x:v>
      </x:c>
      <x:c r="C578" s="9" t="s">
        <x:v>3</x:v>
      </x:c>
      <x:c r="D578" s="9">
        <x:v>4</x:v>
      </x:c>
      <x:c r="E578" s="9">
        <x:v>10</x:v>
      </x:c>
      <x:c r="F578" s="9">
        <x:v>7</x:v>
      </x:c>
      <x:c r="G578" s="16" t="s">
        <x:v>54</x:v>
      </x:c>
    </x:row>
    <x:row r="579" spans="1:7" ht="16.75">
      <x:c r="A579" s="56" t="s">
        <x:v>58</x:v>
      </x:c>
      <x:c r="B579" s="12" t="s">
        <x:v>72</x:v>
      </x:c>
      <x:c r="C579" s="13" t="s">
        <x:v>93</x:v>
      </x:c>
      <x:c r="D579" s="13">
        <x:v>2</x:v>
      </x:c>
      <x:c r="E579" s="13">
        <x:v>9</x:v>
      </x:c>
      <x:c r="F579" s="13">
        <x:v>11</x:v>
      </x:c>
      <x:c r="G579" s="17" t="s">
        <x:v>54</x:v>
      </x:c>
    </x:row>
    <x:row r="581" spans="1:7">
      <x:c r="A581" s="1" t="s">
        <x:v>35</x:v>
      </x:c>
      <x:c r="B581" s="1" t="s">
        <x:v>30</x:v>
      </x:c>
      <x:c r="C581" s="1" t="s">
        <x:v>0</x:v>
      </x:c>
      <x:c r="D581" s="24" t="s">
        <x:v>19</x:v>
      </x:c>
      <x:c r="E581" s="24" t="s">
        <x:v>26</x:v>
      </x:c>
      <x:c r="F581" s="24" t="s">
        <x:v>32</x:v>
      </x:c>
      <x:c r="G581" s="1" t="s">
        <x:v>36</x:v>
      </x:c>
    </x:row>
    <x:row r="582" spans="1:7" ht="16.75">
      <x:c r="A582" s="22" t="s">
        <x:v>21</x:v>
      </x:c>
      <x:c r="B582" s="10" t="s">
        <x:v>33</x:v>
      </x:c>
      <x:c r="C582" s="11" t="s">
        <x:v>66</x:v>
      </x:c>
      <x:c r="D582" s="11">
        <x:v>16</x:v>
      </x:c>
      <x:c r="E582" s="11">
        <x:v>2</x:v>
      </x:c>
      <x:c r="F582" s="11">
        <x:v>3</x:v>
      </x:c>
      <x:c r="G582" s="15" t="s">
        <x:v>39</x:v>
      </x:c>
    </x:row>
    <x:row r="583" spans="1:7">
      <x:c r="A583" s="20" t="s">
        <x:v>47</x:v>
      </x:c>
      <x:c r="B583" s="2" t="s">
        <x:v>56</x:v>
      </x:c>
      <x:c r="C583" s="9" t="s">
        <x:v>92</x:v>
      </x:c>
      <x:c r="D583" s="9">
        <x:v>6</x:v>
      </x:c>
      <x:c r="E583" s="9">
        <x:v>3</x:v>
      </x:c>
      <x:c r="F583" s="9">
        <x:v>6</x:v>
      </x:c>
      <x:c r="G583" s="16" t="s">
        <x:v>39</x:v>
      </x:c>
    </x:row>
    <x:row r="584" spans="1:7">
      <x:c r="A584" s="57" t="s">
        <x:v>55</x:v>
      </x:c>
      <x:c r="B584" s="2" t="s">
        <x:v>34</x:v>
      </x:c>
      <x:c r="C584" s="9" t="s">
        <x:v>106</x:v>
      </x:c>
      <x:c r="D584" s="9">
        <x:v>1</x:v>
      </x:c>
      <x:c r="E584" s="9">
        <x:v>4</x:v>
      </x:c>
      <x:c r="F584" s="9">
        <x:v>12</x:v>
      </x:c>
      <x:c r="G584" s="16" t="s">
        <x:v>39</x:v>
      </x:c>
    </x:row>
    <x:row r="585" spans="1:7">
      <x:c r="A585" s="54" t="s">
        <x:v>45</x:v>
      </x:c>
      <x:c r="B585" s="2" t="s">
        <x:v>25</x:v>
      </x:c>
      <x:c r="C585" s="9" t="s">
        <x:v>3</x:v>
      </x:c>
      <x:c r="D585" s="9">
        <x:v>10</x:v>
      </x:c>
      <x:c r="E585" s="9">
        <x:v>1</x:v>
      </x:c>
      <x:c r="F585" s="9">
        <x:v>8</x:v>
      </x:c>
      <x:c r="G585" s="16" t="s">
        <x:v>39</x:v>
      </x:c>
    </x:row>
    <x:row r="586" spans="1:7" ht="16.75">
      <x:c r="A586" s="56" t="s">
        <x:v>75</x:v>
      </x:c>
      <x:c r="B586" s="12" t="s">
        <x:v>72</x:v>
      </x:c>
      <x:c r="C586" s="13" t="s">
        <x:v>157</x:v>
      </x:c>
      <x:c r="D586" s="13">
        <x:v>1</x:v>
      </x:c>
      <x:c r="E586" s="13">
        <x:v>4</x:v>
      </x:c>
      <x:c r="F586" s="13">
        <x:v>15</x:v>
      </x:c>
      <x:c r="G586" s="17" t="s">
        <x:v>39</x:v>
      </x:c>
    </x:row>
    <x:row r="587" spans="1:7" ht="16.75">
      <x:c r="A587" s="60" t="s">
        <x:v>37</x:v>
      </x:c>
      <x:c r="B587" s="14" t="s">
        <x:v>33</x:v>
      </x:c>
      <x:c r="C587" s="23" t="s">
        <x:v>81</x:v>
      </x:c>
      <x:c r="D587" s="23">
        <x:v>4</x:v>
      </x:c>
      <x:c r="E587" s="23">
        <x:v>5</x:v>
      </x:c>
      <x:c r="F587" s="23">
        <x:v>4</x:v>
      </x:c>
      <x:c r="G587" s="18" t="s">
        <x:v>54</x:v>
      </x:c>
    </x:row>
    <x:row r="588" spans="1:7">
      <x:c r="A588" s="57" t="s">
        <x:v>44</x:v>
      </x:c>
      <x:c r="B588" s="2" t="s">
        <x:v>56</x:v>
      </x:c>
      <x:c r="C588" s="9" t="s">
        <x:v>88</x:v>
      </x:c>
      <x:c r="D588" s="9">
        <x:v>2</x:v>
      </x:c>
      <x:c r="E588" s="9">
        <x:v>9</x:v>
      </x:c>
      <x:c r="F588" s="9">
        <x:v>5</x:v>
      </x:c>
      <x:c r="G588" s="16" t="s">
        <x:v>54</x:v>
      </x:c>
    </x:row>
    <x:row r="589" spans="1:7">
      <x:c r="A589" s="57" t="s">
        <x:v>123</x:v>
      </x:c>
      <x:c r="B589" s="2" t="s">
        <x:v>34</x:v>
      </x:c>
      <x:c r="C589" s="9" t="s">
        <x:v>114</x:v>
      </x:c>
      <x:c r="D589" s="9">
        <x:v>6</x:v>
      </x:c>
      <x:c r="E589" s="9">
        <x:v>7</x:v>
      </x:c>
      <x:c r="F589" s="9">
        <x:v>1</x:v>
      </x:c>
      <x:c r="G589" s="16" t="s">
        <x:v>54</x:v>
      </x:c>
    </x:row>
    <x:row r="590" spans="1:7">
      <x:c r="A590" s="20" t="s">
        <x:v>70</x:v>
      </x:c>
      <x:c r="B590" s="2" t="s">
        <x:v>25</x:v>
      </x:c>
      <x:c r="C590" s="9" t="s">
        <x:v>159</x:v>
      </x:c>
      <x:c r="D590" s="9">
        <x:v>2</x:v>
      </x:c>
      <x:c r="E590" s="9">
        <x:v>5</x:v>
      </x:c>
      <x:c r="F590" s="9">
        <x:v>1</x:v>
      </x:c>
      <x:c r="G590" s="16" t="s">
        <x:v>54</x:v>
      </x:c>
    </x:row>
    <x:row r="591" spans="1:7" ht="16.75">
      <x:c r="A591" s="56" t="s">
        <x:v>118</x:v>
      </x:c>
      <x:c r="B591" s="12" t="s">
        <x:v>72</x:v>
      </x:c>
      <x:c r="C591" s="13" t="s">
        <x:v>135</x:v>
      </x:c>
      <x:c r="D591" s="13">
        <x:v>0</x:v>
      </x:c>
      <x:c r="E591" s="13">
        <x:v>8</x:v>
      </x:c>
      <x:c r="F591" s="13">
        <x:v>7</x:v>
      </x:c>
      <x:c r="G591" s="17" t="s">
        <x:v>54</x:v>
      </x:c>
    </x:row>
    <x:row r="593" spans="1:7">
      <x:c r="A593" s="1" t="s">
        <x:v>35</x:v>
      </x:c>
      <x:c r="B593" s="1" t="s">
        <x:v>30</x:v>
      </x:c>
      <x:c r="C593" s="1" t="s">
        <x:v>0</x:v>
      </x:c>
      <x:c r="D593" s="24" t="s">
        <x:v>19</x:v>
      </x:c>
      <x:c r="E593" s="24" t="s">
        <x:v>26</x:v>
      </x:c>
      <x:c r="F593" s="24" t="s">
        <x:v>32</x:v>
      </x:c>
      <x:c r="G593" s="1" t="s">
        <x:v>36</x:v>
      </x:c>
    </x:row>
    <x:row r="594" spans="1:7" ht="16.75">
      <x:c r="A594" s="22" t="s">
        <x:v>62</x:v>
      </x:c>
      <x:c r="B594" s="10" t="s">
        <x:v>33</x:v>
      </x:c>
      <x:c r="C594" s="11" t="s">
        <x:v>52</x:v>
      </x:c>
      <x:c r="D594" s="11">
        <x:v>9</x:v>
      </x:c>
      <x:c r="E594" s="11">
        <x:v>2</x:v>
      </x:c>
      <x:c r="F594" s="11">
        <x:v>4</x:v>
      </x:c>
      <x:c r="G594" s="15" t="s">
        <x:v>39</x:v>
      </x:c>
    </x:row>
    <x:row r="595" spans="1:7">
      <x:c r="A595" s="20" t="s">
        <x:v>105</x:v>
      </x:c>
      <x:c r="B595" s="2" t="s">
        <x:v>56</x:v>
      </x:c>
      <x:c r="C595" s="9" t="s">
        <x:v>101</x:v>
      </x:c>
      <x:c r="D595" s="9">
        <x:v>2</x:v>
      </x:c>
      <x:c r="E595" s="9">
        <x:v>2</x:v>
      </x:c>
      <x:c r="F595" s="9">
        <x:v>8</x:v>
      </x:c>
      <x:c r="G595" s="16" t="s">
        <x:v>39</x:v>
      </x:c>
    </x:row>
    <x:row r="596" spans="1:7">
      <x:c r="A596" s="54" t="s">
        <x:v>29</x:v>
      </x:c>
      <x:c r="B596" s="2" t="s">
        <x:v>34</x:v>
      </x:c>
      <x:c r="C596" s="9" t="s">
        <x:v>18</x:v>
      </x:c>
      <x:c r="D596" s="9">
        <x:v>4</x:v>
      </x:c>
      <x:c r="E596" s="9">
        <x:v>5</x:v>
      </x:c>
      <x:c r="F596" s="9">
        <x:v>4</x:v>
      </x:c>
      <x:c r="G596" s="16" t="s">
        <x:v>39</x:v>
      </x:c>
    </x:row>
    <x:row r="597" spans="1:7">
      <x:c r="A597" s="20" t="s">
        <x:v>139</x:v>
      </x:c>
      <x:c r="B597" s="2" t="s">
        <x:v>25</x:v>
      </x:c>
      <x:c r="C597" s="9" t="s">
        <x:v>69</x:v>
      </x:c>
      <x:c r="D597" s="9">
        <x:v>4</x:v>
      </x:c>
      <x:c r="E597" s="9">
        <x:v>6</x:v>
      </x:c>
      <x:c r="F597" s="9">
        <x:v>5</x:v>
      </x:c>
      <x:c r="G597" s="16" t="s">
        <x:v>39</x:v>
      </x:c>
    </x:row>
    <x:row r="598" spans="1:7" ht="16.75">
      <x:c r="A598" s="56" t="s">
        <x:v>71</x:v>
      </x:c>
      <x:c r="B598" s="12" t="s">
        <x:v>72</x:v>
      </x:c>
      <x:c r="C598" s="13" t="s">
        <x:v>125</x:v>
      </x:c>
      <x:c r="D598" s="13">
        <x:v>2</x:v>
      </x:c>
      <x:c r="E598" s="13">
        <x:v>4</x:v>
      </x:c>
      <x:c r="F598" s="13">
        <x:v>8</x:v>
      </x:c>
      <x:c r="G598" s="17" t="s">
        <x:v>39</x:v>
      </x:c>
    </x:row>
    <x:row r="599" spans="1:7" ht="16.75">
      <x:c r="A599" s="60" t="s">
        <x:v>76</x:v>
      </x:c>
      <x:c r="B599" s="14" t="s">
        <x:v>33</x:v>
      </x:c>
      <x:c r="C599" s="23" t="s">
        <x:v>140</x:v>
      </x:c>
      <x:c r="D599" s="23">
        <x:v>0</x:v>
      </x:c>
      <x:c r="E599" s="23">
        <x:v>6</x:v>
      </x:c>
      <x:c r="F599" s="23">
        <x:v>2</x:v>
      </x:c>
      <x:c r="G599" s="18" t="s">
        <x:v>54</x:v>
      </x:c>
    </x:row>
    <x:row r="600" spans="1:7">
      <x:c r="A600" s="57" t="s">
        <x:v>22</x:v>
      </x:c>
      <x:c r="B600" s="2" t="s">
        <x:v>56</x:v>
      </x:c>
      <x:c r="C600" s="9" t="s">
        <x:v>17</x:v>
      </x:c>
      <x:c r="D600" s="9">
        <x:v>4</x:v>
      </x:c>
      <x:c r="E600" s="9">
        <x:v>2</x:v>
      </x:c>
      <x:c r="F600" s="9">
        <x:v>6</x:v>
      </x:c>
      <x:c r="G600" s="16" t="s">
        <x:v>54</x:v>
      </x:c>
    </x:row>
    <x:row r="601" spans="1:7">
      <x:c r="A601" s="57" t="s">
        <x:v>60</x:v>
      </x:c>
      <x:c r="B601" s="2" t="s">
        <x:v>34</x:v>
      </x:c>
      <x:c r="C601" s="9" t="s">
        <x:v>172</x:v>
      </x:c>
      <x:c r="D601" s="9">
        <x:v>7</x:v>
      </x:c>
      <x:c r="E601" s="9">
        <x:v>6</x:v>
      </x:c>
      <x:c r="F601" s="9">
        <x:v>2</x:v>
      </x:c>
      <x:c r="G601" s="16" t="s">
        <x:v>54</x:v>
      </x:c>
    </x:row>
    <x:row r="602" spans="1:7">
      <x:c r="A602" s="20" t="s">
        <x:v>50</x:v>
      </x:c>
      <x:c r="B602" s="2" t="s">
        <x:v>25</x:v>
      </x:c>
      <x:c r="C602" s="9" t="s">
        <x:v>96</x:v>
      </x:c>
      <x:c r="D602" s="9">
        <x:v>7</x:v>
      </x:c>
      <x:c r="E602" s="9">
        <x:v>4</x:v>
      </x:c>
      <x:c r="F602" s="9">
        <x:v>6</x:v>
      </x:c>
      <x:c r="G602" s="16" t="s">
        <x:v>54</x:v>
      </x:c>
    </x:row>
    <x:row r="603" spans="1:7" ht="16.75">
      <x:c r="A603" s="56" t="s">
        <x:v>58</x:v>
      </x:c>
      <x:c r="B603" s="12" t="s">
        <x:v>72</x:v>
      </x:c>
      <x:c r="C603" s="13" t="s">
        <x:v>131</x:v>
      </x:c>
      <x:c r="D603" s="13">
        <x:v>1</x:v>
      </x:c>
      <x:c r="E603" s="13">
        <x:v>3</x:v>
      </x:c>
      <x:c r="F603" s="13">
        <x:v>12</x:v>
      </x:c>
      <x:c r="G603" s="17" t="s">
        <x:v>54</x:v>
      </x:c>
    </x:row>
    <x:row r="605" spans="1:7">
      <x:c r="A605" s="1" t="s">
        <x:v>35</x:v>
      </x:c>
      <x:c r="B605" s="1" t="s">
        <x:v>30</x:v>
      </x:c>
      <x:c r="C605" s="1" t="s">
        <x:v>0</x:v>
      </x:c>
      <x:c r="D605" s="24" t="s">
        <x:v>19</x:v>
      </x:c>
      <x:c r="E605" s="24" t="s">
        <x:v>26</x:v>
      </x:c>
      <x:c r="F605" s="24" t="s">
        <x:v>32</x:v>
      </x:c>
      <x:c r="G605" s="1" t="s">
        <x:v>36</x:v>
      </x:c>
    </x:row>
    <x:row r="606" spans="1:7" ht="16.75">
      <x:c r="A606" s="60" t="s">
        <x:v>37</x:v>
      </x:c>
      <x:c r="B606" s="10" t="s">
        <x:v>33</x:v>
      </x:c>
      <x:c r="C606" s="11" t="s">
        <x:v>147</x:v>
      </x:c>
      <x:c r="D606" s="11">
        <x:v>12</x:v>
      </x:c>
      <x:c r="E606" s="11">
        <x:v>4</x:v>
      </x:c>
      <x:c r="F606" s="11">
        <x:v>9</x:v>
      </x:c>
      <x:c r="G606" s="15" t="s">
        <x:v>39</x:v>
      </x:c>
    </x:row>
    <x:row r="607" spans="1:7">
      <x:c r="A607" s="57" t="s">
        <x:v>44</x:v>
      </x:c>
      <x:c r="B607" s="2" t="s">
        <x:v>56</x:v>
      </x:c>
      <x:c r="C607" s="9" t="s">
        <x:v>117</x:v>
      </x:c>
      <x:c r="D607" s="9">
        <x:v>16</x:v>
      </x:c>
      <x:c r="E607" s="9">
        <x:v>5</x:v>
      </x:c>
      <x:c r="F607" s="9">
        <x:v>5</x:v>
      </x:c>
      <x:c r="G607" s="16" t="s">
        <x:v>39</x:v>
      </x:c>
    </x:row>
    <x:row r="608" spans="1:7">
      <x:c r="A608" s="57" t="s">
        <x:v>123</x:v>
      </x:c>
      <x:c r="B608" s="2" t="s">
        <x:v>34</x:v>
      </x:c>
      <x:c r="C608" s="9" t="s">
        <x:v>188</x:v>
      </x:c>
      <x:c r="D608" s="9">
        <x:v>6</x:v>
      </x:c>
      <x:c r="E608" s="9">
        <x:v>5</x:v>
      </x:c>
      <x:c r="F608" s="9">
        <x:v>17</x:v>
      </x:c>
      <x:c r="G608" s="16" t="s">
        <x:v>39</x:v>
      </x:c>
    </x:row>
    <x:row r="609" spans="1:7">
      <x:c r="A609" s="20" t="s">
        <x:v>70</x:v>
      </x:c>
      <x:c r="B609" s="2" t="s">
        <x:v>25</x:v>
      </x:c>
      <x:c r="C609" s="9" t="s">
        <x:v>96</x:v>
      </x:c>
      <x:c r="D609" s="9">
        <x:v>6</x:v>
      </x:c>
      <x:c r="E609" s="9">
        <x:v>5</x:v>
      </x:c>
      <x:c r="F609" s="9">
        <x:v>13</x:v>
      </x:c>
      <x:c r="G609" s="16" t="s">
        <x:v>39</x:v>
      </x:c>
    </x:row>
    <x:row r="610" spans="1:7" ht="16.75">
      <x:c r="A610" s="56" t="s">
        <x:v>118</x:v>
      </x:c>
      <x:c r="B610" s="12" t="s">
        <x:v>72</x:v>
      </x:c>
      <x:c r="C610" s="13" t="s">
        <x:v>131</x:v>
      </x:c>
      <x:c r="D610" s="13">
        <x:v>0</x:v>
      </x:c>
      <x:c r="E610" s="13">
        <x:v>3</x:v>
      </x:c>
      <x:c r="F610" s="13">
        <x:v>18</x:v>
      </x:c>
      <x:c r="G610" s="17" t="s">
        <x:v>39</x:v>
      </x:c>
    </x:row>
    <x:row r="611" spans="1:7" ht="16.75">
      <x:c r="A611" s="22" t="s">
        <x:v>21</x:v>
      </x:c>
      <x:c r="B611" s="14" t="s">
        <x:v>33</x:v>
      </x:c>
      <x:c r="C611" s="23" t="s">
        <x:v>140</x:v>
      </x:c>
      <x:c r="D611" s="23">
        <x:v>4</x:v>
      </x:c>
      <x:c r="E611" s="23">
        <x:v>7</x:v>
      </x:c>
      <x:c r="F611" s="23">
        <x:v>4</x:v>
      </x:c>
      <x:c r="G611" s="18" t="s">
        <x:v>54</x:v>
      </x:c>
    </x:row>
    <x:row r="612" spans="1:7">
      <x:c r="A612" s="20" t="s">
        <x:v>47</x:v>
      </x:c>
      <x:c r="B612" s="2" t="s">
        <x:v>56</x:v>
      </x:c>
      <x:c r="C612" s="9" t="s">
        <x:v>184</x:v>
      </x:c>
      <x:c r="D612" s="9">
        <x:v>6</x:v>
      </x:c>
      <x:c r="E612" s="9">
        <x:v>8</x:v>
      </x:c>
      <x:c r="F612" s="9">
        <x:v>4</x:v>
      </x:c>
      <x:c r="G612" s="16" t="s">
        <x:v>54</x:v>
      </x:c>
    </x:row>
    <x:row r="613" spans="1:7">
      <x:c r="A613" s="57" t="s">
        <x:v>55</x:v>
      </x:c>
      <x:c r="B613" s="2" t="s">
        <x:v>34</x:v>
      </x:c>
      <x:c r="C613" s="9" t="s">
        <x:v>110</x:v>
      </x:c>
      <x:c r="D613" s="9">
        <x:v>3</x:v>
      </x:c>
      <x:c r="E613" s="9">
        <x:v>11</x:v>
      </x:c>
      <x:c r="F613" s="9">
        <x:v>9</x:v>
      </x:c>
      <x:c r="G613" s="16" t="s">
        <x:v>54</x:v>
      </x:c>
    </x:row>
    <x:row r="614" spans="1:7">
      <x:c r="A614" s="54" t="s">
        <x:v>45</x:v>
      </x:c>
      <x:c r="B614" s="2" t="s">
        <x:v>25</x:v>
      </x:c>
      <x:c r="C614" s="9" t="s">
        <x:v>168</x:v>
      </x:c>
      <x:c r="D614" s="9">
        <x:v>4</x:v>
      </x:c>
      <x:c r="E614" s="9">
        <x:v>7</x:v>
      </x:c>
      <x:c r="F614" s="9">
        <x:v>4</x:v>
      </x:c>
      <x:c r="G614" s="16" t="s">
        <x:v>54</x:v>
      </x:c>
    </x:row>
    <x:row r="615" spans="1:7" ht="16.75">
      <x:c r="A615" s="56" t="s">
        <x:v>75</x:v>
      </x:c>
      <x:c r="B615" s="12" t="s">
        <x:v>72</x:v>
      </x:c>
      <x:c r="C615" s="13" t="s">
        <x:v>132</x:v>
      </x:c>
      <x:c r="D615" s="13">
        <x:v>5</x:v>
      </x:c>
      <x:c r="E615" s="13">
        <x:v>7</x:v>
      </x:c>
      <x:c r="F615" s="13">
        <x:v>7</x:v>
      </x:c>
      <x:c r="G615" s="17" t="s">
        <x:v>54</x:v>
      </x:c>
    </x:row>
    <x:row r="617" spans="1:7">
      <x:c r="A617" s="1" t="s">
        <x:v>35</x:v>
      </x:c>
      <x:c r="B617" s="1" t="s">
        <x:v>30</x:v>
      </x:c>
      <x:c r="C617" s="1" t="s">
        <x:v>0</x:v>
      </x:c>
      <x:c r="D617" s="24" t="s">
        <x:v>19</x:v>
      </x:c>
      <x:c r="E617" s="24" t="s">
        <x:v>26</x:v>
      </x:c>
      <x:c r="F617" s="24" t="s">
        <x:v>32</x:v>
      </x:c>
      <x:c r="G617" s="1" t="s">
        <x:v>36</x:v>
      </x:c>
    </x:row>
    <x:row r="618" spans="1:7" ht="16.75">
      <x:c r="A618" s="60" t="s">
        <x:v>62</x:v>
      </x:c>
      <x:c r="B618" s="10" t="s">
        <x:v>33</x:v>
      </x:c>
      <x:c r="C618" s="11" t="s">
        <x:v>83</x:v>
      </x:c>
      <x:c r="D618" s="11">
        <x:v>10</x:v>
      </x:c>
      <x:c r="E618" s="11">
        <x:v>2</x:v>
      </x:c>
      <x:c r="F618" s="11">
        <x:v>4</x:v>
      </x:c>
      <x:c r="G618" s="15" t="s">
        <x:v>39</x:v>
      </x:c>
    </x:row>
    <x:row r="619" spans="1:7">
      <x:c r="A619" s="57" t="s">
        <x:v>44</x:v>
      </x:c>
      <x:c r="B619" s="2" t="s">
        <x:v>56</x:v>
      </x:c>
      <x:c r="C619" s="9" t="s">
        <x:v>174</x:v>
      </x:c>
      <x:c r="D619" s="9">
        <x:v>2</x:v>
      </x:c>
      <x:c r="E619" s="9">
        <x:v>6</x:v>
      </x:c>
      <x:c r="F619" s="9">
        <x:v>10</x:v>
      </x:c>
      <x:c r="G619" s="16" t="s">
        <x:v>39</x:v>
      </x:c>
    </x:row>
    <x:row r="620" spans="1:7">
      <x:c r="A620" s="54" t="s">
        <x:v>4</x:v>
      </x:c>
      <x:c r="B620" s="2" t="s">
        <x:v>34</x:v>
      </x:c>
      <x:c r="C620" s="9" t="s">
        <x:v>64</x:v>
      </x:c>
      <x:c r="D620" s="9">
        <x:v>5</x:v>
      </x:c>
      <x:c r="E620" s="9">
        <x:v>3</x:v>
      </x:c>
      <x:c r="F620" s="9">
        <x:v>2</x:v>
      </x:c>
      <x:c r="G620" s="16" t="s">
        <x:v>39</x:v>
      </x:c>
    </x:row>
    <x:row r="621" spans="1:7">
      <x:c r="A621" s="20" t="s">
        <x:v>139</x:v>
      </x:c>
      <x:c r="B621" s="2" t="s">
        <x:v>25</x:v>
      </x:c>
      <x:c r="C621" s="9" t="s">
        <x:v>159</x:v>
      </x:c>
      <x:c r="D621" s="9">
        <x:v>4</x:v>
      </x:c>
      <x:c r="E621" s="9">
        <x:v>3</x:v>
      </x:c>
      <x:c r="F621" s="9">
        <x:v>6</x:v>
      </x:c>
      <x:c r="G621" s="16" t="s">
        <x:v>39</x:v>
      </x:c>
    </x:row>
    <x:row r="622" spans="1:7" ht="16.75">
      <x:c r="A622" s="56" t="s">
        <x:v>58</x:v>
      </x:c>
      <x:c r="B622" s="12" t="s">
        <x:v>72</x:v>
      </x:c>
      <x:c r="C622" s="13" t="s">
        <x:v>115</x:v>
      </x:c>
      <x:c r="D622" s="13">
        <x:v>0</x:v>
      </x:c>
      <x:c r="E622" s="13">
        <x:v>4</x:v>
      </x:c>
      <x:c r="F622" s="13">
        <x:v>8</x:v>
      </x:c>
      <x:c r="G622" s="17" t="s">
        <x:v>39</x:v>
      </x:c>
    </x:row>
    <x:row r="623" spans="1:7" ht="16.75">
      <x:c r="A623" s="22" t="s">
        <x:v>59</x:v>
      </x:c>
      <x:c r="B623" s="14" t="s">
        <x:v>33</x:v>
      </x:c>
      <x:c r="C623" s="23" t="s">
        <x:v>17</x:v>
      </x:c>
      <x:c r="D623" s="23">
        <x:v>4</x:v>
      </x:c>
      <x:c r="E623" s="23">
        <x:v>5</x:v>
      </x:c>
      <x:c r="F623" s="23">
        <x:v>2</x:v>
      </x:c>
      <x:c r="G623" s="18" t="s">
        <x:v>54</x:v>
      </x:c>
    </x:row>
    <x:row r="624" spans="1:7">
      <x:c r="A624" s="20" t="s">
        <x:v>20</x:v>
      </x:c>
      <x:c r="B624" s="2" t="s">
        <x:v>56</x:v>
      </x:c>
      <x:c r="C624" s="9" t="s">
        <x:v>27</x:v>
      </x:c>
      <x:c r="D624" s="9">
        <x:v>4</x:v>
      </x:c>
      <x:c r="E624" s="9">
        <x:v>7</x:v>
      </x:c>
      <x:c r="F624" s="9">
        <x:v>7</x:v>
      </x:c>
      <x:c r="G624" s="16" t="s">
        <x:v>54</x:v>
      </x:c>
    </x:row>
    <x:row r="625" spans="1:7">
      <x:c r="A625" s="57" t="s">
        <x:v>123</x:v>
      </x:c>
      <x:c r="B625" s="2" t="s">
        <x:v>34</x:v>
      </x:c>
      <x:c r="C625" s="9" t="s">
        <x:v>188</x:v>
      </x:c>
      <x:c r="D625" s="9">
        <x:v>5</x:v>
      </x:c>
      <x:c r="E625" s="9">
        <x:v>5</x:v>
      </x:c>
      <x:c r="F625" s="9">
        <x:v>7</x:v>
      </x:c>
      <x:c r="G625" s="16" t="s">
        <x:v>54</x:v>
      </x:c>
    </x:row>
    <x:row r="626" spans="1:7">
      <x:c r="A626" s="57" t="s">
        <x:v>28</x:v>
      </x:c>
      <x:c r="B626" s="2" t="s">
        <x:v>25</x:v>
      </x:c>
      <x:c r="C626" s="9" t="s">
        <x:v>96</x:v>
      </x:c>
      <x:c r="D626" s="9">
        <x:v>5</x:v>
      </x:c>
      <x:c r="E626" s="9">
        <x:v>2</x:v>
      </x:c>
      <x:c r="F626" s="9">
        <x:v>2</x:v>
      </x:c>
      <x:c r="G626" s="16" t="s">
        <x:v>54</x:v>
      </x:c>
    </x:row>
    <x:row r="627" spans="1:7" ht="16.75">
      <x:c r="A627" s="56" t="s">
        <x:v>118</x:v>
      </x:c>
      <x:c r="B627" s="12" t="s">
        <x:v>72</x:v>
      </x:c>
      <x:c r="C627" s="13" t="s">
        <x:v>145</x:v>
      </x:c>
      <x:c r="D627" s="13">
        <x:v>0</x:v>
      </x:c>
      <x:c r="E627" s="13">
        <x:v>2</x:v>
      </x:c>
      <x:c r="F627" s="13">
        <x:v>11</x:v>
      </x:c>
      <x:c r="G627" s="17" t="s">
        <x:v>54</x:v>
      </x:c>
    </x:row>
    <x:row r="629" spans="1:7">
      <x:c r="A629" s="1" t="s">
        <x:v>35</x:v>
      </x:c>
      <x:c r="B629" s="1" t="s">
        <x:v>30</x:v>
      </x:c>
      <x:c r="C629" s="1" t="s">
        <x:v>0</x:v>
      </x:c>
      <x:c r="D629" s="24" t="s">
        <x:v>19</x:v>
      </x:c>
      <x:c r="E629" s="24" t="s">
        <x:v>26</x:v>
      </x:c>
      <x:c r="F629" s="24" t="s">
        <x:v>32</x:v>
      </x:c>
      <x:c r="G629" s="1" t="s">
        <x:v>36</x:v>
      </x:c>
    </x:row>
    <x:row r="630" spans="1:7" ht="16.75">
      <x:c r="A630" s="60" t="s">
        <x:v>76</x:v>
      </x:c>
      <x:c r="B630" s="10" t="s">
        <x:v>33</x:v>
      </x:c>
      <x:c r="C630" s="11" t="s">
        <x:v>79</x:v>
      </x:c>
      <x:c r="D630" s="11">
        <x:v>1</x:v>
      </x:c>
      <x:c r="E630" s="11">
        <x:v>8</x:v>
      </x:c>
      <x:c r="F630" s="11">
        <x:v>7</x:v>
      </x:c>
      <x:c r="G630" s="15" t="s">
        <x:v>39</x:v>
      </x:c>
    </x:row>
    <x:row r="631" spans="1:7">
      <x:c r="A631" s="57" t="s">
        <x:v>47</x:v>
      </x:c>
      <x:c r="B631" s="2" t="s">
        <x:v>56</x:v>
      </x:c>
      <x:c r="C631" s="9" t="s">
        <x:v>116</x:v>
      </x:c>
      <x:c r="D631" s="9">
        <x:v>17</x:v>
      </x:c>
      <x:c r="E631" s="9">
        <x:v>9</x:v>
      </x:c>
      <x:c r="F631" s="9">
        <x:v>3</x:v>
      </x:c>
      <x:c r="G631" s="16" t="s">
        <x:v>39</x:v>
      </x:c>
    </x:row>
    <x:row r="632" spans="1:7">
      <x:c r="A632" s="57" t="s">
        <x:v>37</x:v>
      </x:c>
      <x:c r="B632" s="2" t="s">
        <x:v>34</x:v>
      </x:c>
      <x:c r="C632" s="9" t="s">
        <x:v>1</x:v>
      </x:c>
      <x:c r="D632" s="9">
        <x:v>4</x:v>
      </x:c>
      <x:c r="E632" s="9">
        <x:v>4</x:v>
      </x:c>
      <x:c r="F632" s="9">
        <x:v>6</x:v>
      </x:c>
      <x:c r="G632" s="16" t="s">
        <x:v>39</x:v>
      </x:c>
    </x:row>
    <x:row r="633" spans="1:7">
      <x:c r="A633" s="20" t="s">
        <x:v>50</x:v>
      </x:c>
      <x:c r="B633" s="2" t="s">
        <x:v>25</x:v>
      </x:c>
      <x:c r="C633" s="9" t="s">
        <x:v>111</x:v>
      </x:c>
      <x:c r="D633" s="9">
        <x:v>4</x:v>
      </x:c>
      <x:c r="E633" s="9">
        <x:v>4</x:v>
      </x:c>
      <x:c r="F633" s="9">
        <x:v>6</x:v>
      </x:c>
      <x:c r="G633" s="16" t="s">
        <x:v>39</x:v>
      </x:c>
    </x:row>
    <x:row r="634" spans="1:7" ht="16.75">
      <x:c r="A634" s="56" t="s">
        <x:v>75</x:v>
      </x:c>
      <x:c r="B634" s="12" t="s">
        <x:v>72</x:v>
      </x:c>
      <x:c r="C634" s="13" t="s">
        <x:v>103</x:v>
      </x:c>
      <x:c r="D634" s="13">
        <x:v>1</x:v>
      </x:c>
      <x:c r="E634" s="13">
        <x:v>10</x:v>
      </x:c>
      <x:c r="F634" s="13">
        <x:v>12</x:v>
      </x:c>
      <x:c r="G634" s="17" t="s">
        <x:v>39</x:v>
      </x:c>
    </x:row>
    <x:row r="635" spans="1:7" ht="16.75">
      <x:c r="A635" s="22" t="s">
        <x:v>73</x:v>
      </x:c>
      <x:c r="B635" s="14" t="s">
        <x:v>33</x:v>
      </x:c>
      <x:c r="C635" s="23" t="s">
        <x:v>66</x:v>
      </x:c>
      <x:c r="D635" s="23">
        <x:v>10</x:v>
      </x:c>
      <x:c r="E635" s="23">
        <x:v>5</x:v>
      </x:c>
      <x:c r="F635" s="23">
        <x:v>8</x:v>
      </x:c>
      <x:c r="G635" s="18" t="s">
        <x:v>54</x:v>
      </x:c>
    </x:row>
    <x:row r="636" spans="1:7">
      <x:c r="A636" s="20" t="s">
        <x:v>21</x:v>
      </x:c>
      <x:c r="B636" s="2" t="s">
        <x:v>56</x:v>
      </x:c>
      <x:c r="C636" s="9" t="s">
        <x:v>68</x:v>
      </x:c>
      <x:c r="D636" s="9">
        <x:v>11</x:v>
      </x:c>
      <x:c r="E636" s="9">
        <x:v>11</x:v>
      </x:c>
      <x:c r="F636" s="9">
        <x:v>11</x:v>
      </x:c>
      <x:c r="G636" s="16" t="s">
        <x:v>54</x:v>
      </x:c>
    </x:row>
    <x:row r="637" spans="1:7">
      <x:c r="A637" s="57" t="s">
        <x:v>70</x:v>
      </x:c>
      <x:c r="B637" s="2" t="s">
        <x:v>34</x:v>
      </x:c>
      <x:c r="C637" s="9" t="s">
        <x:v>110</x:v>
      </x:c>
      <x:c r="D637" s="9">
        <x:v>3</x:v>
      </x:c>
      <x:c r="E637" s="9">
        <x:v>3</x:v>
      </x:c>
      <x:c r="F637" s="9">
        <x:v>14</x:v>
      </x:c>
      <x:c r="G637" s="16" t="s">
        <x:v>54</x:v>
      </x:c>
    </x:row>
    <x:row r="638" spans="1:7">
      <x:c r="A638" s="57" t="s">
        <x:v>57</x:v>
      </x:c>
      <x:c r="B638" s="2" t="s">
        <x:v>25</x:v>
      </x:c>
      <x:c r="C638" s="9" t="s">
        <x:v>102</x:v>
      </x:c>
      <x:c r="D638" s="9">
        <x:v>6</x:v>
      </x:c>
      <x:c r="E638" s="9">
        <x:v>4</x:v>
      </x:c>
      <x:c r="F638" s="9">
        <x:v>10</x:v>
      </x:c>
      <x:c r="G638" s="16" t="s">
        <x:v>54</x:v>
      </x:c>
    </x:row>
    <x:row r="639" spans="1:7" ht="16.75">
      <x:c r="A639" s="56" t="s">
        <x:v>71</x:v>
      </x:c>
      <x:c r="B639" s="12" t="s">
        <x:v>72</x:v>
      </x:c>
      <x:c r="C639" s="13" t="s">
        <x:v>86</x:v>
      </x:c>
      <x:c r="D639" s="13">
        <x:v>5</x:v>
      </x:c>
      <x:c r="E639" s="13">
        <x:v>4</x:v>
      </x:c>
      <x:c r="F639" s="13">
        <x:v>11</x:v>
      </x:c>
      <x:c r="G639" s="17" t="s">
        <x:v>54</x:v>
      </x:c>
    </x:row>
    <x:row r="641" spans="1:7">
      <x:c r="A641" s="1" t="s">
        <x:v>35</x:v>
      </x:c>
      <x:c r="B641" s="1" t="s">
        <x:v>30</x:v>
      </x:c>
      <x:c r="C641" s="1" t="s">
        <x:v>0</x:v>
      </x:c>
      <x:c r="D641" s="24" t="s">
        <x:v>19</x:v>
      </x:c>
      <x:c r="E641" s="24" t="s">
        <x:v>26</x:v>
      </x:c>
      <x:c r="F641" s="24" t="s">
        <x:v>32</x:v>
      </x:c>
      <x:c r="G641" s="1" t="s">
        <x:v>36</x:v>
      </x:c>
    </x:row>
    <x:row r="642" spans="1:7" ht="16.75">
      <x:c r="A642" s="60" t="s">
        <x:v>4</x:v>
      </x:c>
      <x:c r="B642" s="10" t="s">
        <x:v>33</x:v>
      </x:c>
      <x:c r="C642" s="11" t="s">
        <x:v>7</x:v>
      </x:c>
      <x:c r="D642" s="11">
        <x:v>0</x:v>
      </x:c>
      <x:c r="E642" s="11">
        <x:v>3</x:v>
      </x:c>
      <x:c r="F642" s="11">
        <x:v>2</x:v>
      </x:c>
      <x:c r="G642" s="15" t="s">
        <x:v>39</x:v>
      </x:c>
    </x:row>
    <x:row r="643" spans="1:7">
      <x:c r="A643" s="57" t="s">
        <x:v>44</x:v>
      </x:c>
      <x:c r="B643" s="2" t="s">
        <x:v>56</x:v>
      </x:c>
      <x:c r="C643" s="9" t="s">
        <x:v>117</x:v>
      </x:c>
      <x:c r="D643" s="9">
        <x:v>1</x:v>
      </x:c>
      <x:c r="E643" s="9">
        <x:v>1</x:v>
      </x:c>
      <x:c r="F643" s="9">
        <x:v>0</x:v>
      </x:c>
      <x:c r="G643" s="16" t="s">
        <x:v>39</x:v>
      </x:c>
    </x:row>
    <x:row r="644" spans="1:7">
      <x:c r="A644" s="57" t="s">
        <x:v>21</x:v>
      </x:c>
      <x:c r="B644" s="2" t="s">
        <x:v>34</x:v>
      </x:c>
      <x:c r="C644" s="9" t="s">
        <x:v>188</x:v>
      </x:c>
      <x:c r="D644" s="9">
        <x:v>12</x:v>
      </x:c>
      <x:c r="E644" s="9">
        <x:v>3</x:v>
      </x:c>
      <x:c r="F644" s="9">
        <x:v>0</x:v>
      </x:c>
      <x:c r="G644" s="16" t="s">
        <x:v>39</x:v>
      </x:c>
    </x:row>
    <x:row r="645" spans="1:7">
      <x:c r="A645" s="20" t="s">
        <x:v>70</x:v>
      </x:c>
      <x:c r="B645" s="2" t="s">
        <x:v>25</x:v>
      </x:c>
      <x:c r="C645" s="9" t="s">
        <x:v>159</x:v>
      </x:c>
      <x:c r="D645" s="9">
        <x:v>6</x:v>
      </x:c>
      <x:c r="E645" s="9">
        <x:v>3</x:v>
      </x:c>
      <x:c r="F645" s="9">
        <x:v>1</x:v>
      </x:c>
      <x:c r="G645" s="16" t="s">
        <x:v>39</x:v>
      </x:c>
    </x:row>
    <x:row r="646" spans="1:7" ht="16.75">
      <x:c r="A646" s="56" t="s">
        <x:v>130</x:v>
      </x:c>
      <x:c r="B646" s="12" t="s">
        <x:v>72</x:v>
      </x:c>
      <x:c r="C646" s="13" t="s">
        <x:v>135</x:v>
      </x:c>
      <x:c r="D646" s="13">
        <x:v>0</x:v>
      </x:c>
      <x:c r="E646" s="13">
        <x:v>1</x:v>
      </x:c>
      <x:c r="F646" s="13">
        <x:v>6</x:v>
      </x:c>
      <x:c r="G646" s="17" t="s">
        <x:v>39</x:v>
      </x:c>
    </x:row>
    <x:row r="647" spans="1:7" ht="16.75">
      <x:c r="A647" s="22" t="s">
        <x:v>59</x:v>
      </x:c>
      <x:c r="B647" s="14" t="s">
        <x:v>33</x:v>
      </x:c>
      <x:c r="C647" s="23" t="s">
        <x:v>179</x:v>
      </x:c>
      <x:c r="D647" s="23">
        <x:v>2</x:v>
      </x:c>
      <x:c r="E647" s="23">
        <x:v>2</x:v>
      </x:c>
      <x:c r="F647" s="23">
        <x:v>2</x:v>
      </x:c>
      <x:c r="G647" s="18" t="s">
        <x:v>54</x:v>
      </x:c>
    </x:row>
    <x:row r="648" spans="1:7">
      <x:c r="A648" s="20" t="s">
        <x:v>105</x:v>
      </x:c>
      <x:c r="B648" s="2" t="s">
        <x:v>56</x:v>
      </x:c>
      <x:c r="C648" s="9" t="s">
        <x:v>184</x:v>
      </x:c>
      <x:c r="D648" s="9">
        <x:v>6</x:v>
      </x:c>
      <x:c r="E648" s="9">
        <x:v>3</x:v>
      </x:c>
      <x:c r="F648" s="9">
        <x:v>0</x:v>
      </x:c>
      <x:c r="G648" s="16" t="s">
        <x:v>54</x:v>
      </x:c>
    </x:row>
    <x:row r="649" spans="1:7">
      <x:c r="A649" s="57" t="s">
        <x:v>123</x:v>
      </x:c>
      <x:c r="B649" s="2" t="s">
        <x:v>34</x:v>
      </x:c>
      <x:c r="C649" s="9" t="s">
        <x:v>43</x:v>
      </x:c>
      <x:c r="D649" s="9">
        <x:v>0</x:v>
      </x:c>
      <x:c r="E649" s="9">
        <x:v>7</x:v>
      </x:c>
      <x:c r="F649" s="9">
        <x:v>3</x:v>
      </x:c>
      <x:c r="G649" s="16" t="s">
        <x:v>54</x:v>
      </x:c>
    </x:row>
    <x:row r="650" spans="1:7">
      <x:c r="A650" s="54" t="s">
        <x:v>5</x:v>
      </x:c>
      <x:c r="B650" s="2" t="s">
        <x:v>25</x:v>
      </x:c>
      <x:c r="C650" s="9" t="s">
        <x:v>111</x:v>
      </x:c>
      <x:c r="D650" s="9">
        <x:v>1</x:v>
      </x:c>
      <x:c r="E650" s="9">
        <x:v>4</x:v>
      </x:c>
      <x:c r="F650" s="9">
        <x:v>2</x:v>
      </x:c>
      <x:c r="G650" s="16" t="s">
        <x:v>54</x:v>
      </x:c>
    </x:row>
    <x:row r="651" spans="1:7" ht="16.75">
      <x:c r="A651" s="56" t="s">
        <x:v>118</x:v>
      </x:c>
      <x:c r="B651" s="12" t="s">
        <x:v>72</x:v>
      </x:c>
      <x:c r="C651" s="13" t="s">
        <x:v>86</x:v>
      </x:c>
      <x:c r="D651" s="13">
        <x:v>2</x:v>
      </x:c>
      <x:c r="E651" s="13">
        <x:v>4</x:v>
      </x:c>
      <x:c r="F651" s="13">
        <x:v>3</x:v>
      </x:c>
      <x:c r="G651" s="17" t="s">
        <x:v>54</x:v>
      </x:c>
    </x:row>
    <x:row r="653" spans="1:7">
      <x:c r="A653" s="1" t="s">
        <x:v>35</x:v>
      </x:c>
      <x:c r="B653" s="1" t="s">
        <x:v>30</x:v>
      </x:c>
      <x:c r="C653" s="1" t="s">
        <x:v>0</x:v>
      </x:c>
      <x:c r="D653" s="24" t="s">
        <x:v>19</x:v>
      </x:c>
      <x:c r="E653" s="24" t="s">
        <x:v>26</x:v>
      </x:c>
      <x:c r="F653" s="24" t="s">
        <x:v>32</x:v>
      </x:c>
      <x:c r="G653" s="1" t="s">
        <x:v>36</x:v>
      </x:c>
    </x:row>
    <x:row r="654" spans="1:7" ht="16.75">
      <x:c r="A654" s="60" t="s">
        <x:v>75</x:v>
      </x:c>
      <x:c r="B654" s="10" t="s">
        <x:v>33</x:v>
      </x:c>
      <x:c r="C654" s="11" t="s">
        <x:v>79</x:v>
      </x:c>
      <x:c r="D654" s="11">
        <x:v>8</x:v>
      </x:c>
      <x:c r="E654" s="11">
        <x:v>6</x:v>
      </x:c>
      <x:c r="F654" s="11">
        <x:v>16</x:v>
      </x:c>
      <x:c r="G654" s="15" t="s">
        <x:v>39</x:v>
      </x:c>
    </x:row>
    <x:row r="655" spans="1:7">
      <x:c r="A655" s="57" t="s">
        <x:v>60</x:v>
      </x:c>
      <x:c r="B655" s="2" t="s">
        <x:v>56</x:v>
      </x:c>
      <x:c r="C655" s="9" t="s">
        <x:v>88</x:v>
      </x:c>
      <x:c r="D655" s="9">
        <x:v>16</x:v>
      </x:c>
      <x:c r="E655" s="9">
        <x:v>10</x:v>
      </x:c>
      <x:c r="F655" s="9">
        <x:v>21</x:v>
      </x:c>
      <x:c r="G655" s="16" t="s">
        <x:v>39</x:v>
      </x:c>
    </x:row>
    <x:row r="656" spans="1:7">
      <x:c r="A656" s="57" t="s">
        <x:v>73</x:v>
      </x:c>
      <x:c r="B656" s="2" t="s">
        <x:v>34</x:v>
      </x:c>
      <x:c r="C656" s="9" t="s">
        <x:v>138</x:v>
      </x:c>
      <x:c r="D656" s="9">
        <x:v>12</x:v>
      </x:c>
      <x:c r="E656" s="9">
        <x:v>13</x:v>
      </x:c>
      <x:c r="F656" s="9">
        <x:v>8</x:v>
      </x:c>
      <x:c r="G656" s="16" t="s">
        <x:v>39</x:v>
      </x:c>
    </x:row>
    <x:row r="657" spans="1:7">
      <x:c r="A657" s="20" t="s">
        <x:v>57</x:v>
      </x:c>
      <x:c r="B657" s="2" t="s">
        <x:v>25</x:v>
      </x:c>
      <x:c r="C657" s="9" t="s">
        <x:v>159</x:v>
      </x:c>
      <x:c r="D657" s="9">
        <x:v>14</x:v>
      </x:c>
      <x:c r="E657" s="9">
        <x:v>7</x:v>
      </x:c>
      <x:c r="F657" s="9">
        <x:v>12</x:v>
      </x:c>
      <x:c r="G657" s="16" t="s">
        <x:v>39</x:v>
      </x:c>
    </x:row>
    <x:row r="658" spans="1:7" ht="16.75">
      <x:c r="A658" s="56" t="s">
        <x:v>58</x:v>
      </x:c>
      <x:c r="B658" s="12" t="s">
        <x:v>72</x:v>
      </x:c>
      <x:c r="C658" s="13" t="s">
        <x:v>84</x:v>
      </x:c>
      <x:c r="D658" s="13">
        <x:v>1</x:v>
      </x:c>
      <x:c r="E658" s="13">
        <x:v>8</x:v>
      </x:c>
      <x:c r="F658" s="13">
        <x:v>24</x:v>
      </x:c>
      <x:c r="G658" s="17" t="s">
        <x:v>39</x:v>
      </x:c>
    </x:row>
    <x:row r="659" spans="1:7" ht="16.75">
      <x:c r="A659" s="22" t="s">
        <x:v>76</x:v>
      </x:c>
      <x:c r="B659" s="14" t="s">
        <x:v>33</x:v>
      </x:c>
      <x:c r="C659" s="23" t="s">
        <x:v>106</x:v>
      </x:c>
      <x:c r="D659" s="23">
        <x:v>2</x:v>
      </x:c>
      <x:c r="E659" s="23">
        <x:v>8</x:v>
      </x:c>
      <x:c r="F659" s="23">
        <x:v>18</x:v>
      </x:c>
      <x:c r="G659" s="18" t="s">
        <x:v>54</x:v>
      </x:c>
    </x:row>
    <x:row r="660" spans="1:7">
      <x:c r="A660" s="20" t="s">
        <x:v>20</x:v>
      </x:c>
      <x:c r="B660" s="2" t="s">
        <x:v>56</x:v>
      </x:c>
      <x:c r="C660" s="9" t="s">
        <x:v>119</x:v>
      </x:c>
      <x:c r="D660" s="9">
        <x:v>11</x:v>
      </x:c>
      <x:c r="E660" s="9">
        <x:v>12</x:v>
      </x:c>
      <x:c r="F660" s="9">
        <x:v>16</x:v>
      </x:c>
      <x:c r="G660" s="16" t="s">
        <x:v>54</x:v>
      </x:c>
    </x:row>
    <x:row r="661" spans="1:7">
      <x:c r="A661" s="57" t="s">
        <x:v>71</x:v>
      </x:c>
      <x:c r="B661" s="2" t="s">
        <x:v>34</x:v>
      </x:c>
      <x:c r="C661" s="9" t="s">
        <x:v>40</x:v>
      </x:c>
      <x:c r="D661" s="9">
        <x:v>5</x:v>
      </x:c>
      <x:c r="E661" s="9">
        <x:v>13</x:v>
      </x:c>
      <x:c r="F661" s="9">
        <x:v>14</x:v>
      </x:c>
      <x:c r="G661" s="16" t="s">
        <x:v>54</x:v>
      </x:c>
    </x:row>
    <x:row r="662" spans="1:7">
      <x:c r="A662" s="57" t="s">
        <x:v>62</x:v>
      </x:c>
      <x:c r="B662" s="2" t="s">
        <x:v>25</x:v>
      </x:c>
      <x:c r="C662" s="9" t="s">
        <x:v>102</x:v>
      </x:c>
      <x:c r="D662" s="9">
        <x:v>22</x:v>
      </x:c>
      <x:c r="E662" s="9">
        <x:v>7</x:v>
      </x:c>
      <x:c r="F662" s="9">
        <x:v>7</x:v>
      </x:c>
      <x:c r="G662" s="16" t="s">
        <x:v>54</x:v>
      </x:c>
    </x:row>
    <x:row r="663" spans="1:7" ht="16.75">
      <x:c r="A663" s="56" t="s">
        <x:v>14</x:v>
      </x:c>
      <x:c r="B663" s="12" t="s">
        <x:v>72</x:v>
      </x:c>
      <x:c r="C663" s="13" t="s">
        <x:v>115</x:v>
      </x:c>
      <x:c r="D663" s="13">
        <x:v>4</x:v>
      </x:c>
      <x:c r="E663" s="13">
        <x:v>11</x:v>
      </x:c>
      <x:c r="F663" s="13">
        <x:v>29</x:v>
      </x:c>
      <x:c r="G663" s="17" t="s">
        <x:v>54</x:v>
      </x:c>
    </x:row>
    <x:row r="665" spans="1:7">
      <x:c r="A665" s="1" t="s">
        <x:v>35</x:v>
      </x:c>
      <x:c r="B665" s="1" t="s">
        <x:v>30</x:v>
      </x:c>
      <x:c r="C665" s="1" t="s">
        <x:v>0</x:v>
      </x:c>
      <x:c r="D665" s="24" t="s">
        <x:v>19</x:v>
      </x:c>
      <x:c r="E665" s="24" t="s">
        <x:v>26</x:v>
      </x:c>
      <x:c r="F665" s="24" t="s">
        <x:v>32</x:v>
      </x:c>
      <x:c r="G665" s="1" t="s">
        <x:v>36</x:v>
      </x:c>
    </x:row>
    <x:row r="666" spans="1:7" ht="16.75">
      <x:c r="A666" s="60" t="s">
        <x:v>76</x:v>
      </x:c>
      <x:c r="B666" s="10" t="s">
        <x:v>33</x:v>
      </x:c>
      <x:c r="C666" s="11" t="s">
        <x:v>79</x:v>
      </x:c>
      <x:c r="D666" s="11">
        <x:v>6</x:v>
      </x:c>
      <x:c r="E666" s="11">
        <x:v>4</x:v>
      </x:c>
      <x:c r="F666" s="11">
        <x:v>4</x:v>
      </x:c>
      <x:c r="G666" s="15" t="s">
        <x:v>39</x:v>
      </x:c>
    </x:row>
    <x:row r="667" spans="1:7">
      <x:c r="A667" s="57" t="s">
        <x:v>20</x:v>
      </x:c>
      <x:c r="B667" s="2" t="s">
        <x:v>56</x:v>
      </x:c>
      <x:c r="C667" s="9" t="s">
        <x:v>116</x:v>
      </x:c>
      <x:c r="D667" s="9">
        <x:v>5</x:v>
      </x:c>
      <x:c r="E667" s="9">
        <x:v>4</x:v>
      </x:c>
      <x:c r="F667" s="9">
        <x:v>4</x:v>
      </x:c>
      <x:c r="G667" s="16" t="s">
        <x:v>39</x:v>
      </x:c>
    </x:row>
    <x:row r="668" spans="1:7">
      <x:c r="A668" s="57" t="s">
        <x:v>22</x:v>
      </x:c>
      <x:c r="B668" s="2" t="s">
        <x:v>34</x:v>
      </x:c>
      <x:c r="C668" s="9" t="s">
        <x:v>163</x:v>
      </x:c>
      <x:c r="D668" s="9">
        <x:v>7</x:v>
      </x:c>
      <x:c r="E668" s="9">
        <x:v>0</x:v>
      </x:c>
      <x:c r="F668" s="9">
        <x:v>7</x:v>
      </x:c>
      <x:c r="G668" s="16" t="s">
        <x:v>39</x:v>
      </x:c>
    </x:row>
    <x:row r="669" spans="1:7">
      <x:c r="A669" s="20" t="s">
        <x:v>50</x:v>
      </x:c>
      <x:c r="B669" s="2" t="s">
        <x:v>25</x:v>
      </x:c>
      <x:c r="C669" s="9" t="s">
        <x:v>2</x:v>
      </x:c>
      <x:c r="D669" s="9">
        <x:v>7</x:v>
      </x:c>
      <x:c r="E669" s="9">
        <x:v>1</x:v>
      </x:c>
      <x:c r="F669" s="9">
        <x:v>7</x:v>
      </x:c>
      <x:c r="G669" s="16" t="s">
        <x:v>39</x:v>
      </x:c>
    </x:row>
    <x:row r="670" spans="1:7" ht="16.75">
      <x:c r="A670" s="56" t="s">
        <x:v>28</x:v>
      </x:c>
      <x:c r="B670" s="12" t="s">
        <x:v>72</x:v>
      </x:c>
      <x:c r="C670" s="13" t="s">
        <x:v>120</x:v>
      </x:c>
      <x:c r="D670" s="13">
        <x:v>1</x:v>
      </x:c>
      <x:c r="E670" s="13">
        <x:v>0</x:v>
      </x:c>
      <x:c r="F670" s="13">
        <x:v>13</x:v>
      </x:c>
      <x:c r="G670" s="17" t="s">
        <x:v>39</x:v>
      </x:c>
    </x:row>
    <x:row r="671" spans="1:7" ht="16.75">
      <x:c r="A671" s="22" t="s">
        <x:v>70</x:v>
      </x:c>
      <x:c r="B671" s="14" t="s">
        <x:v>33</x:v>
      </x:c>
      <x:c r="C671" s="23" t="s">
        <x:v>170</x:v>
      </x:c>
      <x:c r="D671" s="23">
        <x:v>3</x:v>
      </x:c>
      <x:c r="E671" s="23">
        <x:v>7</x:v>
      </x:c>
      <x:c r="F671" s="23">
        <x:v>2</x:v>
      </x:c>
      <x:c r="G671" s="18" t="s">
        <x:v>54</x:v>
      </x:c>
    </x:row>
    <x:row r="672" spans="1:7">
      <x:c r="A672" s="20" t="s">
        <x:v>48</x:v>
      </x:c>
      <x:c r="B672" s="2" t="s">
        <x:v>56</x:v>
      </x:c>
      <x:c r="C672" s="9" t="s">
        <x:v>38</x:v>
      </x:c>
      <x:c r="D672" s="9">
        <x:v>1</x:v>
      </x:c>
      <x:c r="E672" s="9">
        <x:v>4</x:v>
      </x:c>
      <x:c r="F672" s="9">
        <x:v>3</x:v>
      </x:c>
      <x:c r="G672" s="16" t="s">
        <x:v>54</x:v>
      </x:c>
    </x:row>
    <x:row r="673" spans="1:7">
      <x:c r="A673" s="57" t="s">
        <x:v>85</x:v>
      </x:c>
      <x:c r="B673" s="2" t="s">
        <x:v>34</x:v>
      </x:c>
      <x:c r="C673" s="9" t="s">
        <x:v>83</x:v>
      </x:c>
      <x:c r="D673" s="9">
        <x:v>1</x:v>
      </x:c>
      <x:c r="E673" s="9">
        <x:v>4</x:v>
      </x:c>
      <x:c r="F673" s="9">
        <x:v>0</x:v>
      </x:c>
      <x:c r="G673" s="16" t="s">
        <x:v>54</x:v>
      </x:c>
    </x:row>
    <x:row r="674" spans="1:7">
      <x:c r="A674" s="57" t="s">
        <x:v>71</x:v>
      </x:c>
      <x:c r="B674" s="2" t="s">
        <x:v>25</x:v>
      </x:c>
      <x:c r="C674" s="9" t="s">
        <x:v>69</x:v>
      </x:c>
      <x:c r="D674" s="9">
        <x:v>2</x:v>
      </x:c>
      <x:c r="E674" s="9">
        <x:v>5</x:v>
      </x:c>
      <x:c r="F674" s="9">
        <x:v>1</x:v>
      </x:c>
      <x:c r="G674" s="16" t="s">
        <x:v>54</x:v>
      </x:c>
    </x:row>
    <x:row r="675" spans="1:7" ht="16.75">
      <x:c r="A675" s="56" t="s">
        <x:v>21</x:v>
      </x:c>
      <x:c r="B675" s="12" t="s">
        <x:v>72</x:v>
      </x:c>
      <x:c r="C675" s="13" t="s">
        <x:v>88</x:v>
      </x:c>
      <x:c r="D675" s="13">
        <x:v>2</x:v>
      </x:c>
      <x:c r="E675" s="13">
        <x:v>6</x:v>
      </x:c>
      <x:c r="F675" s="13">
        <x:v>2</x:v>
      </x:c>
      <x:c r="G675" s="17" t="s">
        <x:v>54</x:v>
      </x:c>
    </x:row>
    <x:row r="677" spans="1:7">
      <x:c r="A677" s="1" t="s">
        <x:v>35</x:v>
      </x:c>
      <x:c r="B677" s="1" t="s">
        <x:v>30</x:v>
      </x:c>
      <x:c r="C677" s="1" t="s">
        <x:v>0</x:v>
      </x:c>
      <x:c r="D677" s="24" t="s">
        <x:v>19</x:v>
      </x:c>
      <x:c r="E677" s="24" t="s">
        <x:v>26</x:v>
      </x:c>
      <x:c r="F677" s="24" t="s">
        <x:v>32</x:v>
      </x:c>
      <x:c r="G677" s="1" t="s">
        <x:v>36</x:v>
      </x:c>
    </x:row>
    <x:row r="678" spans="1:7" ht="16.75">
      <x:c r="A678" s="60" t="s">
        <x:v>21</x:v>
      </x:c>
      <x:c r="B678" s="10" t="s">
        <x:v>33</x:v>
      </x:c>
      <x:c r="C678" s="11" t="s">
        <x:v>66</x:v>
      </x:c>
      <x:c r="D678" s="11">
        <x:v>16</x:v>
      </x:c>
      <x:c r="E678" s="11">
        <x:v>2</x:v>
      </x:c>
      <x:c r="F678" s="11">
        <x:v>5</x:v>
      </x:c>
      <x:c r="G678" s="15" t="s">
        <x:v>39</x:v>
      </x:c>
    </x:row>
    <x:row r="679" spans="1:7">
      <x:c r="A679" s="57" t="s">
        <x:v>85</x:v>
      </x:c>
      <x:c r="B679" s="2" t="s">
        <x:v>56</x:v>
      </x:c>
      <x:c r="C679" s="9" t="s">
        <x:v>186</x:v>
      </x:c>
      <x:c r="D679" s="9">
        <x:v>12</x:v>
      </x:c>
      <x:c r="E679" s="9">
        <x:v>3</x:v>
      </x:c>
      <x:c r="F679" s="9">
        <x:v>8</x:v>
      </x:c>
      <x:c r="G679" s="16" t="s">
        <x:v>39</x:v>
      </x:c>
    </x:row>
    <x:row r="680" spans="1:7">
      <x:c r="A680" s="57" t="s">
        <x:v>48</x:v>
      </x:c>
      <x:c r="B680" s="2" t="s">
        <x:v>34</x:v>
      </x:c>
      <x:c r="C680" s="9" t="s">
        <x:v>179</x:v>
      </x:c>
      <x:c r="D680" s="9">
        <x:v>3</x:v>
      </x:c>
      <x:c r="E680" s="9">
        <x:v>3</x:v>
      </x:c>
      <x:c r="F680" s="9">
        <x:v>11</x:v>
      </x:c>
      <x:c r="G680" s="16" t="s">
        <x:v>39</x:v>
      </x:c>
    </x:row>
    <x:row r="681" spans="1:7">
      <x:c r="A681" s="20" t="s">
        <x:v>70</x:v>
      </x:c>
      <x:c r="B681" s="2" t="s">
        <x:v>25</x:v>
      </x:c>
      <x:c r="C681" s="9" t="s">
        <x:v>69</x:v>
      </x:c>
      <x:c r="D681" s="9">
        <x:v>3</x:v>
      </x:c>
      <x:c r="E681" s="9">
        <x:v>2</x:v>
      </x:c>
      <x:c r="F681" s="9">
        <x:v>6</x:v>
      </x:c>
      <x:c r="G681" s="16" t="s">
        <x:v>39</x:v>
      </x:c>
    </x:row>
    <x:row r="682" spans="1:7" ht="16.75">
      <x:c r="A682" s="56" t="s">
        <x:v>71</x:v>
      </x:c>
      <x:c r="B682" s="12" t="s">
        <x:v>72</x:v>
      </x:c>
      <x:c r="C682" s="13" t="s">
        <x:v>125</x:v>
      </x:c>
      <x:c r="D682" s="13">
        <x:v>1</x:v>
      </x:c>
      <x:c r="E682" s="13">
        <x:v>1</x:v>
      </x:c>
      <x:c r="F682" s="13">
        <x:v>11</x:v>
      </x:c>
      <x:c r="G682" s="17" t="s">
        <x:v>39</x:v>
      </x:c>
    </x:row>
    <x:row r="683" spans="1:7" ht="16.75">
      <x:c r="A683" s="22" t="s">
        <x:v>76</x:v>
      </x:c>
      <x:c r="B683" s="14" t="s">
        <x:v>33</x:v>
      </x:c>
      <x:c r="C683" s="23" t="s">
        <x:v>79</x:v>
      </x:c>
      <x:c r="D683" s="23">
        <x:v>1</x:v>
      </x:c>
      <x:c r="E683" s="23">
        <x:v>6</x:v>
      </x:c>
      <x:c r="F683" s="23">
        <x:v>2</x:v>
      </x:c>
      <x:c r="G683" s="18" t="s">
        <x:v>54</x:v>
      </x:c>
    </x:row>
    <x:row r="684" spans="1:7">
      <x:c r="A684" s="20" t="s">
        <x:v>20</x:v>
      </x:c>
      <x:c r="B684" s="2" t="s">
        <x:v>56</x:v>
      </x:c>
      <x:c r="C684" s="9" t="s">
        <x:v>27</x:v>
      </x:c>
      <x:c r="D684" s="9">
        <x:v>3</x:v>
      </x:c>
      <x:c r="E684" s="9">
        <x:v>10</x:v>
      </x:c>
      <x:c r="F684" s="9">
        <x:v>1</x:v>
      </x:c>
      <x:c r="G684" s="16" t="s">
        <x:v>54</x:v>
      </x:c>
    </x:row>
    <x:row r="685" spans="1:7">
      <x:c r="A685" s="57" t="s">
        <x:v>22</x:v>
      </x:c>
      <x:c r="B685" s="2" t="s">
        <x:v>34</x:v>
      </x:c>
      <x:c r="C685" s="9" t="s">
        <x:v>82</x:v>
      </x:c>
      <x:c r="D685" s="9">
        <x:v>2</x:v>
      </x:c>
      <x:c r="E685" s="9">
        <x:v>9</x:v>
      </x:c>
      <x:c r="F685" s="9">
        <x:v>5</x:v>
      </x:c>
      <x:c r="G685" s="16" t="s">
        <x:v>54</x:v>
      </x:c>
    </x:row>
    <x:row r="686" spans="1:7">
      <x:c r="A686" s="57" t="s">
        <x:v>50</x:v>
      </x:c>
      <x:c r="B686" s="2" t="s">
        <x:v>25</x:v>
      </x:c>
      <x:c r="C686" s="9" t="s">
        <x:v>3</x:v>
      </x:c>
      <x:c r="D686" s="9">
        <x:v>3</x:v>
      </x:c>
      <x:c r="E686" s="9">
        <x:v>4</x:v>
      </x:c>
      <x:c r="F686" s="9">
        <x:v>1</x:v>
      </x:c>
      <x:c r="G686" s="16" t="s">
        <x:v>54</x:v>
      </x:c>
    </x:row>
    <x:row r="687" spans="1:7" ht="16.75">
      <x:c r="A687" s="56" t="s">
        <x:v>28</x:v>
      </x:c>
      <x:c r="B687" s="12" t="s">
        <x:v>72</x:v>
      </x:c>
      <x:c r="C687" s="13" t="s">
        <x:v>11</x:v>
      </x:c>
      <x:c r="D687" s="13">
        <x:v>2</x:v>
      </x:c>
      <x:c r="E687" s="13">
        <x:v>6</x:v>
      </x:c>
      <x:c r="F687" s="13">
        <x:v>4</x:v>
      </x:c>
      <x:c r="G687" s="17" t="s">
        <x:v>54</x:v>
      </x:c>
    </x:row>
    <x:row r="689" spans="1:7">
      <x:c r="A689" s="1" t="s">
        <x:v>35</x:v>
      </x:c>
      <x:c r="B689" s="1" t="s">
        <x:v>30</x:v>
      </x:c>
      <x:c r="C689" s="1" t="s">
        <x:v>0</x:v>
      </x:c>
      <x:c r="D689" s="24" t="s">
        <x:v>19</x:v>
      </x:c>
      <x:c r="E689" s="24" t="s">
        <x:v>26</x:v>
      </x:c>
      <x:c r="F689" s="24" t="s">
        <x:v>32</x:v>
      </x:c>
      <x:c r="G689" s="1" t="s">
        <x:v>36</x:v>
      </x:c>
    </x:row>
    <x:row r="690" spans="1:7" ht="16.75">
      <x:c r="A690" s="60" t="s">
        <x:v>76</x:v>
      </x:c>
      <x:c r="B690" s="10" t="s">
        <x:v>33</x:v>
      </x:c>
      <x:c r="C690" s="11" t="s">
        <x:v>66</x:v>
      </x:c>
      <x:c r="D690" s="11">
        <x:v>12</x:v>
      </x:c>
      <x:c r="E690" s="11">
        <x:v>7</x:v>
      </x:c>
      <x:c r="F690" s="11">
        <x:v>4</x:v>
      </x:c>
      <x:c r="G690" s="15" t="s">
        <x:v>39</x:v>
      </x:c>
    </x:row>
    <x:row r="691" spans="1:7">
      <x:c r="A691" s="57" t="s">
        <x:v>59</x:v>
      </x:c>
      <x:c r="B691" s="2" t="s">
        <x:v>56</x:v>
      </x:c>
      <x:c r="C691" s="9" t="s">
        <x:v>186</x:v>
      </x:c>
      <x:c r="D691" s="9">
        <x:v>5</x:v>
      </x:c>
      <x:c r="E691" s="9">
        <x:v>4</x:v>
      </x:c>
      <x:c r="F691" s="9">
        <x:v>14</x:v>
      </x:c>
      <x:c r="G691" s="16" t="s">
        <x:v>39</x:v>
      </x:c>
    </x:row>
    <x:row r="692" spans="1:7">
      <x:c r="A692" s="57" t="s">
        <x:v>22</x:v>
      </x:c>
      <x:c r="B692" s="2" t="s">
        <x:v>34</x:v>
      </x:c>
      <x:c r="C692" s="9" t="s">
        <x:v>179</x:v>
      </x:c>
      <x:c r="D692" s="9">
        <x:v>8</x:v>
      </x:c>
      <x:c r="E692" s="9">
        <x:v>8</x:v>
      </x:c>
      <x:c r="F692" s="9">
        <x:v>9</x:v>
      </x:c>
      <x:c r="G692" s="16" t="s">
        <x:v>39</x:v>
      </x:c>
    </x:row>
    <x:row r="693" spans="1:7">
      <x:c r="A693" s="20" t="s">
        <x:v>50</x:v>
      </x:c>
      <x:c r="B693" s="2" t="s">
        <x:v>25</x:v>
      </x:c>
      <x:c r="C693" s="9" t="s">
        <x:v>69</x:v>
      </x:c>
      <x:c r="D693" s="9">
        <x:v>9</x:v>
      </x:c>
      <x:c r="E693" s="9">
        <x:v>6</x:v>
      </x:c>
      <x:c r="F693" s="9">
        <x:v>8</x:v>
      </x:c>
      <x:c r="G693" s="16" t="s">
        <x:v>39</x:v>
      </x:c>
    </x:row>
    <x:row r="694" spans="1:7" ht="16.75">
      <x:c r="A694" s="56" t="s">
        <x:v>28</x:v>
      </x:c>
      <x:c r="B694" s="12" t="s">
        <x:v>72</x:v>
      </x:c>
      <x:c r="C694" s="13" t="s">
        <x:v>125</x:v>
      </x:c>
      <x:c r="D694" s="13">
        <x:v>3</x:v>
      </x:c>
      <x:c r="E694" s="13">
        <x:v>8</x:v>
      </x:c>
      <x:c r="F694" s="13">
        <x:v>16</x:v>
      </x:c>
      <x:c r="G694" s="17" t="s">
        <x:v>39</x:v>
      </x:c>
    </x:row>
    <x:row r="695" spans="1:7" ht="16.75">
      <x:c r="A695" s="22" t="s">
        <x:v>85</x:v>
      </x:c>
      <x:c r="B695" s="14" t="s">
        <x:v>33</x:v>
      </x:c>
      <x:c r="C695" s="23" t="s">
        <x:v>79</x:v>
      </x:c>
      <x:c r="D695" s="23">
        <x:v>8</x:v>
      </x:c>
      <x:c r="E695" s="23">
        <x:v>11</x:v>
      </x:c>
      <x:c r="F695" s="23">
        <x:v>5</x:v>
      </x:c>
      <x:c r="G695" s="18" t="s">
        <x:v>54</x:v>
      </x:c>
    </x:row>
    <x:row r="696" spans="1:7">
      <x:c r="A696" s="20" t="s">
        <x:v>48</x:v>
      </x:c>
      <x:c r="B696" s="2" t="s">
        <x:v>56</x:v>
      </x:c>
      <x:c r="C696" s="9" t="s">
        <x:v>27</x:v>
      </x:c>
      <x:c r="D696" s="9">
        <x:v>14</x:v>
      </x:c>
      <x:c r="E696" s="9">
        <x:v>4</x:v>
      </x:c>
      <x:c r="F696" s="9">
        <x:v>4</x:v>
      </x:c>
      <x:c r="G696" s="16" t="s">
        <x:v>54</x:v>
      </x:c>
    </x:row>
    <x:row r="697" spans="1:7">
      <x:c r="A697" s="57" t="s">
        <x:v>21</x:v>
      </x:c>
      <x:c r="B697" s="2" t="s">
        <x:v>34</x:v>
      </x:c>
      <x:c r="C697" s="9" t="s">
        <x:v>82</x:v>
      </x:c>
      <x:c r="D697" s="9">
        <x:v>6</x:v>
      </x:c>
      <x:c r="E697" s="9">
        <x:v>11</x:v>
      </x:c>
      <x:c r="F697" s="9">
        <x:v>7</x:v>
      </x:c>
      <x:c r="G697" s="16" t="s">
        <x:v>54</x:v>
      </x:c>
    </x:row>
    <x:row r="698" spans="1:7">
      <x:c r="A698" s="57" t="s">
        <x:v>70</x:v>
      </x:c>
      <x:c r="B698" s="2" t="s">
        <x:v>25</x:v>
      </x:c>
      <x:c r="C698" s="9" t="s">
        <x:v>3</x:v>
      </x:c>
      <x:c r="D698" s="9">
        <x:v>3</x:v>
      </x:c>
      <x:c r="E698" s="9">
        <x:v>6</x:v>
      </x:c>
      <x:c r="F698" s="9">
        <x:v>7</x:v>
      </x:c>
      <x:c r="G698" s="16" t="s">
        <x:v>54</x:v>
      </x:c>
    </x:row>
    <x:row r="699" spans="1:7" ht="16.75">
      <x:c r="A699" s="56" t="s">
        <x:v>71</x:v>
      </x:c>
      <x:c r="B699" s="12" t="s">
        <x:v>72</x:v>
      </x:c>
      <x:c r="C699" s="13" t="s">
        <x:v>11</x:v>
      </x:c>
      <x:c r="D699" s="13">
        <x:v>2</x:v>
      </x:c>
      <x:c r="E699" s="13">
        <x:v>5</x:v>
      </x:c>
      <x:c r="F699" s="13">
        <x:v>17</x:v>
      </x:c>
      <x:c r="G699" s="17" t="s">
        <x:v>54</x:v>
      </x:c>
    </x:row>
  </x:sheetData>
  <x:dataValidations count="2">
    <x:dataValidation type="list" allowBlank="1" sqref="B2:B12 B18:B27 B30:B40 B54:B64 B42:B51 B66:B76 B78:B88 B90:B100 B102:B112 B114:B124 B126:B136 B138:B148 B150:B160 B162:B172 B174:B184 B186:B196 B198:B208 B210:B220 B222:B232 B234:B244 B246:B256 B258:B268 B270:B280 B282:B292 B294:B304 B306:B316 B318:B328 B330:B340 B342:B352 B354:B1000 B665:B675 B677:B687 B689:B699">
      <x:formula1>"TOP,JG,MID,ADC,SUP"</x:formula1>
    </x:dataValidation>
    <x:dataValidation type="list" allowBlank="1" sqref="G2:G12 G18:G27 G30:G40 G54:G64 G42:G51 G66:G76 G78:G88 G90:G100 G102:G112 G114:G124 G126:G136 G138:G148 G150:G160 G162:G172 G174:G184 G186:G196 G198:G208 G210:G220 G222:G232 G234:G244 G246:G256 G258:G268 G270:G280 G282:G292 G294:G304 G306:G316 G318:G328 G330:G340 G342:G352 G354:G1000 G665:G675 G677:G687 G689:G699">
      <x:formula1>"승,패"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PLAYER_STATS</vt:lpstr>
      <vt:lpstr>MATCH_LOG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2026-05-17T11:11:43.000</dcterms:created>
  <dcterms:modified xsi:type="dcterms:W3CDTF">2026-05-26T09:36:28.161</dcterms:modified>
  <cp:version>1200.0100.01</cp:version>
</cp:coreProperties>
</file>